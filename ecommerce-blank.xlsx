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D540821C-13A8-49D9-A247-072D9B9FF195}" xr6:coauthVersionLast="47" xr6:coauthVersionMax="47" xr10:uidLastSave="{00000000-0000-0000-0000-000000000000}"/>
  <bookViews>
    <workbookView xWindow="-108" yWindow="-108" windowWidth="23256" windowHeight="12456" activeTab="3" xr2:uid="{346724B3-1C49-40AE-AA36-C77CF5D6DD09}"/>
  </bookViews>
  <sheets>
    <sheet name="Data" sheetId="1" r:id="rId1"/>
    <sheet name="Questions &amp; KPIs" sheetId="2" r:id="rId2"/>
    <sheet name="Pivote calculations" sheetId="5" r:id="rId3"/>
    <sheet name="Dashboard" sheetId="3" r:id="rId4"/>
  </sheets>
  <definedNames>
    <definedName name="_xlchart.v5.0" hidden="1">'Pivote calculations'!$G$81:$H$81</definedName>
    <definedName name="_xlchart.v5.1" hidden="1">'Pivote calculations'!$G$82:$H$139</definedName>
    <definedName name="_xlchart.v5.10" hidden="1">'Pivote calculations'!$G$82:$H$139</definedName>
    <definedName name="_xlchart.v5.11" hidden="1">'Pivote calculations'!$I$81</definedName>
    <definedName name="_xlchart.v5.12" hidden="1">'Pivote calculations'!$I$82:$I$139</definedName>
    <definedName name="_xlchart.v5.2" hidden="1">'Pivote calculations'!$I$80</definedName>
    <definedName name="_xlchart.v5.3" hidden="1">'Pivote calculations'!$I$81</definedName>
    <definedName name="_xlchart.v5.4" hidden="1">'Pivote calculations'!$I$82:$I$139</definedName>
    <definedName name="_xlchart.v5.5" hidden="1">'Pivote calculations'!$G$81:$H$81</definedName>
    <definedName name="_xlchart.v5.6" hidden="1">'Pivote calculations'!$G$82:$H$139</definedName>
    <definedName name="_xlchart.v5.7" hidden="1">'Pivote calculations'!$I$81</definedName>
    <definedName name="_xlchart.v5.8" hidden="1">'Pivote calculations'!$I$82:$I$139</definedName>
    <definedName name="_xlchart.v5.9" hidden="1">'Pivote calculations'!$G$81:$H$81</definedName>
    <definedName name="Slicer_Gender_Value">#N/A</definedName>
    <definedName name="Slicer_Order_Mode">#N/A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5" l="1"/>
  <c r="G4" i="5"/>
  <c r="I138" i="5"/>
  <c r="I124" i="5"/>
  <c r="I112" i="5"/>
  <c r="I123" i="5"/>
  <c r="I133" i="5"/>
  <c r="I89" i="5"/>
  <c r="I121" i="5"/>
  <c r="I113" i="5"/>
  <c r="I92" i="5"/>
  <c r="I125" i="5"/>
  <c r="I107" i="5"/>
  <c r="I104" i="5"/>
  <c r="I127" i="5"/>
  <c r="I93" i="5"/>
  <c r="I111" i="5"/>
  <c r="I115" i="5"/>
  <c r="I139" i="5"/>
  <c r="I82" i="5"/>
  <c r="I108" i="5"/>
  <c r="I109" i="5"/>
  <c r="I129" i="5"/>
  <c r="I126" i="5"/>
  <c r="I103" i="5"/>
  <c r="I136" i="5"/>
  <c r="I134" i="5"/>
  <c r="I114" i="5"/>
  <c r="I102" i="5"/>
  <c r="I117" i="5"/>
  <c r="I96" i="5"/>
  <c r="I98" i="5"/>
  <c r="I130" i="5"/>
  <c r="I97" i="5"/>
  <c r="I85" i="5"/>
  <c r="I118" i="5"/>
  <c r="I88" i="5"/>
  <c r="I83" i="5"/>
  <c r="I90" i="5"/>
  <c r="I99" i="5"/>
  <c r="I122" i="5"/>
  <c r="I87" i="5"/>
  <c r="I100" i="5"/>
  <c r="I84" i="5"/>
  <c r="I110" i="5"/>
  <c r="I105" i="5"/>
  <c r="I137" i="5"/>
  <c r="I128" i="5"/>
  <c r="I106" i="5"/>
  <c r="I91" i="5"/>
  <c r="I94" i="5"/>
  <c r="I119" i="5"/>
  <c r="I131" i="5"/>
  <c r="I132" i="5"/>
  <c r="I101" i="5"/>
  <c r="I116" i="5"/>
  <c r="I95" i="5"/>
  <c r="I120" i="5"/>
  <c r="I135" i="5"/>
  <c r="I86" i="5"/>
  <c r="I26" i="5"/>
  <c r="L26" i="5"/>
  <c r="J26" i="5"/>
  <c r="K26" i="5"/>
  <c r="H28" i="5"/>
  <c r="H29" i="5"/>
  <c r="H30" i="5"/>
  <c r="H31" i="5"/>
  <c r="H27" i="5"/>
  <c r="K4" i="5"/>
  <c r="I4" i="5"/>
  <c r="H4" i="5"/>
  <c r="O2" i="1" a="1"/>
  <c r="O2" i="1" s="1"/>
  <c r="O3" i="1" a="1"/>
  <c r="O3" i="1" s="1"/>
  <c r="O8" i="1" a="1"/>
  <c r="O8" i="1" s="1"/>
  <c r="N2" i="1"/>
  <c r="M2" i="1"/>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c r="O2321" i="1" a="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c r="O2297" i="1" a="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a="1"/>
  <c r="O2269" i="1" s="1"/>
  <c r="N2269" i="1"/>
  <c r="M2269" i="1"/>
  <c r="O2268" i="1" a="1"/>
  <c r="O2268" i="1" s="1"/>
  <c r="N2268" i="1"/>
  <c r="M2268" i="1"/>
  <c r="O2267" i="1" a="1"/>
  <c r="O2267" i="1" s="1"/>
  <c r="N2267" i="1"/>
  <c r="M2267" i="1"/>
  <c r="O2266" i="1"/>
  <c r="O2266" i="1" a="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c r="O2217" i="1" a="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c r="O2151" i="1" a="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c r="O2014" i="1" a="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c r="O1845" i="1" a="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c r="O1795" i="1" a="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c r="O1755" i="1" a="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c r="O1746" i="1" a="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a="1"/>
  <c r="O1696" i="1" s="1"/>
  <c r="N1696" i="1"/>
  <c r="M1696" i="1"/>
  <c r="O1695" i="1" a="1"/>
  <c r="O1695" i="1" s="1"/>
  <c r="N1695" i="1"/>
  <c r="M1695" i="1"/>
  <c r="O1694" i="1" a="1"/>
  <c r="O1694" i="1" s="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c r="O1636" i="1" a="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c r="O1628" i="1" a="1"/>
  <c r="N1628" i="1"/>
  <c r="M1628" i="1"/>
  <c r="O1627" i="1" a="1"/>
  <c r="O1627" i="1" s="1"/>
  <c r="N1627" i="1"/>
  <c r="M1627" i="1"/>
  <c r="O1626" i="1" a="1"/>
  <c r="O1626" i="1" s="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c r="O1612" i="1" a="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c r="O1598" i="1" a="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c r="O1559" i="1" a="1"/>
  <c r="N1559" i="1"/>
  <c r="M1559" i="1"/>
  <c r="O1558" i="1" a="1"/>
  <c r="O1558" i="1" s="1"/>
  <c r="N1558" i="1"/>
  <c r="M1558" i="1"/>
  <c r="O1557" i="1" a="1"/>
  <c r="O1557" i="1" s="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c r="O1526" i="1" a="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c r="O1471" i="1" a="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c r="O1459" i="1" a="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c r="O1431" i="1" a="1"/>
  <c r="N1431" i="1"/>
  <c r="M1431" i="1"/>
  <c r="O1430" i="1"/>
  <c r="O1430" i="1" a="1"/>
  <c r="N1430" i="1"/>
  <c r="M1430" i="1"/>
  <c r="O1429" i="1" a="1"/>
  <c r="O1429" i="1" s="1"/>
  <c r="N1429" i="1"/>
  <c r="M1429" i="1"/>
  <c r="O1428" i="1" a="1"/>
  <c r="O1428" i="1" s="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c r="O1391" i="1" a="1"/>
  <c r="N1391" i="1"/>
  <c r="M1391" i="1"/>
  <c r="O1390" i="1" a="1"/>
  <c r="O1390" i="1" s="1"/>
  <c r="N1390" i="1"/>
  <c r="M1390" i="1"/>
  <c r="O1389" i="1" a="1"/>
  <c r="O1389" i="1" s="1"/>
  <c r="N1389" i="1"/>
  <c r="M1389" i="1"/>
  <c r="O1388" i="1"/>
  <c r="O1388" i="1" a="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c r="O1353" i="1" a="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a="1"/>
  <c r="O1287" i="1" s="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c r="O1259" i="1" a="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c r="O1162" i="1" a="1"/>
  <c r="N1162" i="1"/>
  <c r="M1162" i="1"/>
  <c r="O1161" i="1" a="1"/>
  <c r="O1161" i="1" s="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c r="O1078" i="1" a="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c r="O868" i="1" a="1"/>
  <c r="N868" i="1"/>
  <c r="M868" i="1"/>
  <c r="O867" i="1"/>
  <c r="O867" i="1" a="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c r="O753" i="1" a="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c r="O679" i="1" a="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c r="O666" i="1" a="1"/>
  <c r="N666" i="1"/>
  <c r="M666" i="1"/>
  <c r="O665" i="1"/>
  <c r="O665" i="1" a="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c r="O655" i="1" a="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c r="O636" i="1" a="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c r="O560" i="1" a="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c r="O541" i="1" a="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c r="O528" i="1" a="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c r="O511" i="1" a="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c r="O496" i="1" a="1"/>
  <c r="N496" i="1"/>
  <c r="M496" i="1"/>
  <c r="O495" i="1" a="1"/>
  <c r="O495" i="1" s="1"/>
  <c r="N495" i="1"/>
  <c r="M495" i="1"/>
  <c r="O494" i="1"/>
  <c r="O494" i="1" a="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c r="O447" i="1" a="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c r="O428" i="1" a="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c r="O373" i="1" a="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c r="O303" i="1" a="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c r="O276" i="1" a="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c r="O260" i="1" a="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c r="O124" i="1" a="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N8" i="1"/>
  <c r="M8" i="1"/>
  <c r="O7" i="1" a="1"/>
  <c r="O7" i="1" s="1"/>
  <c r="N7" i="1"/>
  <c r="M7" i="1"/>
  <c r="O6" i="1" a="1"/>
  <c r="O6" i="1" s="1"/>
  <c r="N6" i="1"/>
  <c r="M6" i="1"/>
  <c r="O5" i="1" a="1"/>
  <c r="O5" i="1" s="1"/>
  <c r="N5" i="1"/>
  <c r="M5" i="1"/>
  <c r="O4" i="1" a="1"/>
  <c r="O4" i="1" s="1"/>
  <c r="N4" i="1"/>
  <c r="M4" i="1"/>
  <c r="N3" i="1"/>
  <c r="M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<sst xmlns="http://schemas.openxmlformats.org/spreadsheetml/2006/main" count="24181" uniqueCount="2540">
  <si>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</si>
  <si>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</si>
  <si>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</si>
  <si>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</si>
  <si>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</si>
  <si>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</si>
  <si>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</si>
  <si>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</si>
  <si>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</si>
  <si>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</si>
  <si>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</si>
  <si>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</si>
  <si>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</si>
  <si>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</si>
  <si>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</si>
  <si>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</si>
  <si>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</si>
  <si>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</si>
  <si>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</si>
  <si>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</si>
  <si>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</si>
  <si>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</si>
  <si>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</si>
  <si>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</si>
  <si>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</si>
  <si>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</si>
  <si>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</si>
  <si>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</si>
  <si>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</si>
  <si>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</si>
  <si>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</si>
  <si>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</si>
  <si>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</si>
  <si>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</si>
  <si>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</si>
  <si>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</si>
  <si>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</si>
  <si>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</si>
  <si>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</si>
  <si>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</si>
  <si>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</si>
  <si>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</si>
  <si>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</si>
  <si>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</si>
  <si>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</si>
  <si>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</si>
  <si>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</si>
  <si>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</si>
  <si>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</si>
  <si>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</si>
  <si>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</si>
  <si>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</si>
  <si>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</si>
  <si>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</si>
  <si>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</si>
  <si>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</si>
  <si>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</si>
  <si>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</si>
  <si>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</si>
  <si>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</si>
  <si>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</si>
  <si>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</si>
  <si>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</si>
  <si>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</si>
  <si>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</si>
  <si>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</si>
  <si>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</si>
  <si>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</si>
  <si>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</si>
  <si>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</si>
  <si>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</si>
  <si>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</si>
  <si>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</si>
  <si>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</si>
  <si>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</si>
  <si>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</si>
  <si>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</si>
  <si>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</si>
  <si>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</si>
  <si>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</si>
  <si>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</si>
  <si>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</si>
  <si>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</si>
  <si>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</si>
  <si>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</si>
  <si>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</si>
  <si>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</si>
  <si>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</si>
  <si>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</si>
  <si>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</si>
  <si>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</si>
  <si>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</si>
  <si>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</si>
  <si>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</si>
  <si>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</si>
  <si>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</si>
  <si>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</si>
  <si>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</si>
  <si>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</si>
  <si>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</si>
  <si>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</si>
  <si>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</si>
  <si>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</si>
  <si>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</si>
  <si>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</si>
  <si>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</si>
  <si>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</si>
  <si>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</si>
  <si>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</si>
  <si>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</si>
  <si>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</si>
  <si>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</si>
  <si>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</si>
  <si>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</si>
  <si>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</si>
  <si>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</si>
  <si>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</si>
  <si>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</si>
  <si>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</si>
  <si>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</si>
  <si>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</si>
  <si>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</si>
  <si>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</si>
  <si>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</si>
  <si>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</si>
  <si>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</si>
  <si>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</si>
  <si>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</si>
  <si>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</si>
  <si>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</si>
  <si>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</si>
  <si>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</si>
  <si>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</si>
  <si>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</si>
  <si>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</si>
  <si>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</si>
  <si>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</si>
  <si>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</si>
  <si>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</si>
  <si>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</si>
  <si>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</si>
  <si>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</si>
  <si>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</si>
  <si>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</si>
  <si>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</si>
  <si>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</si>
  <si>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</si>
  <si>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</si>
  <si>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</si>
  <si>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</si>
  <si>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</si>
  <si>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</si>
  <si>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</si>
  <si>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</si>
  <si>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</si>
  <si>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</si>
  <si>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</si>
  <si>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</si>
  <si>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</si>
  <si>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</si>
  <si>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</si>
  <si>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</si>
  <si>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</si>
  <si>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</si>
  <si>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</si>
  <si>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</si>
  <si>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</si>
  <si>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</si>
  <si>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</si>
  <si>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</si>
  <si>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</si>
  <si>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</si>
  <si>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</si>
  <si>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</si>
  <si>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</si>
  <si>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</si>
  <si>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</si>
  <si>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</si>
  <si>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</si>
  <si>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</si>
  <si>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</si>
  <si>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</si>
  <si>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</si>
  <si>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</si>
  <si>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</si>
  <si>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</si>
  <si>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</si>
  <si>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</si>
  <si>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</si>
  <si>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</si>
  <si>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</si>
  <si>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</si>
  <si>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</si>
  <si>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</si>
  <si>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</si>
  <si>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</si>
  <si>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</si>
  <si>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</si>
  <si>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</si>
  <si>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</si>
  <si>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</si>
  <si>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</si>
  <si>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</si>
  <si>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</si>
  <si>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</si>
  <si>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</si>
  <si>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</si>
  <si>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</si>
  <si>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</si>
  <si>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</si>
  <si>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</si>
  <si>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</si>
  <si>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</si>
  <si>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</si>
  <si>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</si>
  <si>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</si>
  <si>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</si>
  <si>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</si>
  <si>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</si>
  <si>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</si>
  <si>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</si>
  <si>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</si>
  <si>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</si>
  <si>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</si>
  <si>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</si>
  <si>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</si>
  <si>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</si>
  <si>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</si>
  <si>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</si>
  <si>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</si>
  <si>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</si>
  <si>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</si>
  <si>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</si>
  <si>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</si>
  <si>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</si>
  <si>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</si>
  <si>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</si>
  <si>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</si>
  <si>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</si>
  <si>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</si>
  <si>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</si>
  <si>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</si>
  <si>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</si>
  <si>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</si>
  <si>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</si>
  <si>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</si>
  <si>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</si>
  <si>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</si>
  <si>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</si>
  <si>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</si>
  <si>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</si>
  <si>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</si>
  <si>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</si>
  <si>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</si>
  <si>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</si>
  <si>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</si>
  <si>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</si>
  <si>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</si>
  <si>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</si>
  <si>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</si>
  <si>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</si>
  <si>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</si>
  <si>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</si>
  <si>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</si>
  <si>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</si>
  <si>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</si>
  <si>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</si>
  <si>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</si>
  <si>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</si>
  <si>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</si>
  <si>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</si>
  <si>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</si>
  <si>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</si>
  <si>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</si>
  <si>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</si>
  <si>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</si>
  <si>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</si>
  <si>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</si>
  <si>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</si>
  <si>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</si>
  <si>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</si>
  <si>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</si>
  <si>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</si>
  <si>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</si>
  <si>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</si>
  <si>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</si>
  <si>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</si>
  <si>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</si>
  <si>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</si>
  <si>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</si>
  <si>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</si>
  <si>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</si>
  <si>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</si>
  <si>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</si>
  <si>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</si>
  <si>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</si>
  <si>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</si>
  <si>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</si>
  <si>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</si>
  <si>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</si>
  <si>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</si>
  <si>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</si>
  <si>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</si>
  <si>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</si>
  <si>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</si>
  <si>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</si>
  <si>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</si>
  <si>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</si>
  <si>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</si>
  <si>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</si>
  <si>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</si>
  <si>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</si>
  <si>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</si>
  <si>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</si>
  <si>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</si>
  <si>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</si>
  <si>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</si>
  <si>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</si>
  <si>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</si>
  <si>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</si>
  <si>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</si>
  <si>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</si>
  <si>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</si>
  <si>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</si>
  <si>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</si>
  <si>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</si>
  <si>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</si>
  <si>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</si>
  <si>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</si>
  <si>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</si>
  <si>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</si>
  <si>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</si>
  <si>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</si>
  <si>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</si>
  <si>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</si>
  <si>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</si>
  <si>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</si>
  <si>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</si>
  <si>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</si>
  <si>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</si>
  <si>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</si>
  <si>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</si>
  <si>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</si>
  <si>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</si>
  <si>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</si>
  <si>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</si>
  <si>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</si>
  <si>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</si>
  <si>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</si>
  <si>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</si>
  <si>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</si>
  <si>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</si>
  <si>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</si>
  <si>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</si>
  <si>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</si>
  <si>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</si>
  <si>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</si>
  <si>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</si>
  <si>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</si>
  <si>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</si>
  <si>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</si>
  <si>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</si>
  <si>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</si>
  <si>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</si>
  <si>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</si>
  <si>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</si>
  <si>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</si>
  <si>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</si>
  <si>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</si>
  <si>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</si>
  <si>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</si>
  <si>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</si>
  <si>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</si>
  <si>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</si>
  <si>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</si>
  <si>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</si>
  <si>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</si>
  <si>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</si>
  <si>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</si>
  <si>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</si>
  <si>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</si>
  <si>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</si>
  <si>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</si>
  <si>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</si>
  <si>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</si>
  <si>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</si>
  <si>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</si>
  <si>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</si>
  <si>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</si>
  <si>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</si>
  <si>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</si>
  <si>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</si>
  <si>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</si>
  <si>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</si>
  <si>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</si>
  <si>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</si>
  <si>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</si>
  <si>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</si>
  <si>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</si>
  <si>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</si>
  <si>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</si>
  <si>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</si>
  <si>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</si>
  <si>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</si>
  <si>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</si>
  <si>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</si>
  <si>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</si>
  <si>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</si>
  <si>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</si>
  <si>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</si>
  <si>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</si>
  <si>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</si>
  <si>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</si>
  <si>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</si>
  <si>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</si>
  <si>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</si>
  <si>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</si>
  <si>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</si>
  <si>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</si>
  <si>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</si>
  <si>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</si>
  <si>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</si>
  <si>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</si>
  <si>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</si>
  <si>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</si>
  <si>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</si>
  <si>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</si>
  <si>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</si>
  <si>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</si>
  <si>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</si>
  <si>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</si>
  <si>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</si>
  <si>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</si>
  <si>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</si>
  <si>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</si>
  <si>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</si>
  <si>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</si>
  <si>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</si>
  <si>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</si>
  <si>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</si>
  <si>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</si>
  <si>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</si>
  <si>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</si>
  <si>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</si>
  <si>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</si>
  <si>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</si>
  <si>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</si>
  <si>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</si>
  <si>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</si>
  <si>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</si>
  <si>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</si>
  <si>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</si>
  <si>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</si>
  <si>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</si>
  <si>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</si>
  <si>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</si>
  <si>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</si>
  <si>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</si>
  <si>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</si>
  <si>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</si>
  <si>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</si>
  <si>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</si>
  <si>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</si>
  <si>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</si>
  <si>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</si>
  <si>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</si>
  <si>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</si>
  <si>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</si>
  <si>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</si>
  <si>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</si>
  <si>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</si>
  <si>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</si>
  <si>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</si>
  <si>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</si>
  <si>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</si>
  <si>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</si>
  <si>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</si>
  <si>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</si>
  <si>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</si>
  <si>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</si>
  <si>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</si>
  <si>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</si>
  <si>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</si>
  <si>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</si>
  <si>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</si>
  <si>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</si>
  <si>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</si>
  <si>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</si>
  <si>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</si>
  <si>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</si>
  <si>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</si>
  <si>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</si>
  <si>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</si>
  <si>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</si>
  <si>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</si>
  <si>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</si>
  <si>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</si>
  <si>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</si>
  <si>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</si>
  <si>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</si>
  <si>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</si>
  <si>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</si>
  <si>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</si>
  <si>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</si>
  <si>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</si>
  <si>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</si>
  <si>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</si>
  <si>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</si>
  <si>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</si>
  <si>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</si>
  <si>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</si>
  <si>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</si>
  <si>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</si>
  <si>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</si>
  <si>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</si>
  <si>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</si>
  <si>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</si>
  <si>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</si>
  <si>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</si>
  <si>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</si>
  <si>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</si>
  <si>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</si>
  <si>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</si>
  <si>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</si>
  <si>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</si>
  <si>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</si>
  <si>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</si>
  <si>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</si>
  <si>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</si>
  <si>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</si>
  <si>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</si>
  <si>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</si>
  <si>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</si>
  <si>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</si>
  <si>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</si>
  <si>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</si>
  <si>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</si>
  <si>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</si>
  <si>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</si>
  <si>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</si>
  <si>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</si>
  <si>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</si>
  <si>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</si>
  <si>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</si>
  <si>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</si>
  <si>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</si>
  <si>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</si>
  <si>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</si>
  <si>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</si>
  <si>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</si>
  <si>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</si>
  <si>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</si>
  <si>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</si>
  <si>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</si>
  <si>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</si>
  <si>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</si>
  <si>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</si>
  <si>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</si>
  <si>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</si>
  <si>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</si>
  <si>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</si>
  <si>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</si>
  <si>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</si>
  <si>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</si>
  <si>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</si>
  <si>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</si>
  <si>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</si>
  <si>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</si>
  <si>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</si>
  <si>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</si>
  <si>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</si>
  <si>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</si>
  <si>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</si>
  <si>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</si>
  <si>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</si>
  <si>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</si>
  <si>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</si>
  <si>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</si>
  <si>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</si>
  <si>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</si>
  <si>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</si>
  <si>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</si>
  <si>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</si>
  <si>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</si>
  <si>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</si>
  <si>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</si>
  <si>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</si>
  <si>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</si>
  <si>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</si>
  <si>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</si>
  <si>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</si>
  <si>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</si>
  <si>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</si>
  <si>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</si>
  <si>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</si>
  <si>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</si>
  <si>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</si>
  <si>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</si>
  <si>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</si>
  <si>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</si>
  <si>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</si>
  <si>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</si>
  <si>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</si>
  <si>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</si>
  <si>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</si>
  <si>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</si>
  <si>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</si>
  <si>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</si>
  <si>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</si>
  <si>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</si>
  <si>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</si>
  <si>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</si>
  <si>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</si>
  <si>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</si>
  <si>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</si>
  <si>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</si>
  <si>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</si>
  <si>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</si>
  <si>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</si>
  <si>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</si>
  <si>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</si>
  <si>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</si>
  <si>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</si>
  <si>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</si>
  <si>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</si>
  <si>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</si>
  <si>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</si>
  <si>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</si>
  <si>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</si>
  <si>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</si>
  <si>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</si>
  <si>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</si>
  <si>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</si>
  <si>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</si>
  <si>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</si>
  <si>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</si>
  <si>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</si>
  <si>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</si>
  <si>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</si>
  <si>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</si>
  <si>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</si>
  <si>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</si>
  <si>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</si>
  <si>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</si>
  <si>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</si>
  <si>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</si>
  <si>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</si>
  <si>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</si>
  <si>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</si>
  <si>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</si>
  <si>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</si>
  <si>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</si>
  <si>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</si>
  <si>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</si>
  <si>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</si>
  <si>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</si>
  <si>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</si>
  <si>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</si>
  <si>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</si>
  <si>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</si>
  <si>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</si>
  <si>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</si>
  <si>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</si>
  <si>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</si>
  <si>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</si>
  <si>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</si>
  <si>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</si>
  <si>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</si>
  <si>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</si>
  <si>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</si>
  <si>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</si>
  <si>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</si>
  <si>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</si>
  <si>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</si>
  <si>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</si>
  <si>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</si>
  <si>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</si>
  <si>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</si>
  <si>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</si>
  <si>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</si>
  <si>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</si>
  <si>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</si>
  <si>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</si>
  <si>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</si>
  <si>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</si>
  <si>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</si>
  <si>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</si>
  <si>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</si>
  <si>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</si>
  <si>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</si>
  <si>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</si>
  <si>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</si>
  <si>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</si>
  <si>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</si>
  <si>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</si>
  <si>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</si>
  <si>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</si>
  <si>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</si>
  <si>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</si>
  <si>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</si>
  <si>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</si>
  <si>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</si>
  <si>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</si>
  <si>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</si>
  <si>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</si>
  <si>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</si>
  <si>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</si>
  <si>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</si>
  <si>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</si>
  <si>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</si>
  <si>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</si>
  <si>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</si>
  <si>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</si>
  <si>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</si>
  <si>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</si>
  <si>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</si>
  <si>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</si>
  <si>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</si>
  <si>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</si>
  <si>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</si>
  <si>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</si>
  <si>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</si>
  <si>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</si>
  <si>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</si>
  <si>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</si>
  <si>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</si>
  <si>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</si>
  <si>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</si>
  <si>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</si>
  <si>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</si>
  <si>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</si>
  <si>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</si>
  <si>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</si>
  <si>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</si>
  <si>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</si>
  <si>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</si>
  <si>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</si>
  <si>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</si>
  <si>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</si>
  <si>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</si>
  <si>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</si>
  <si>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</si>
  <si>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</si>
  <si>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</si>
  <si>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</si>
  <si>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</si>
  <si>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</si>
  <si>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</si>
  <si>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</si>
  <si>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</si>
  <si>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</si>
  <si>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</si>
  <si>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</si>
  <si>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</si>
  <si>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</si>
  <si>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</si>
  <si>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</si>
  <si>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</si>
  <si>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</si>
  <si>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</si>
  <si>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</si>
  <si>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</si>
  <si>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</si>
  <si>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</si>
  <si>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</si>
  <si>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</si>
  <si>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</si>
  <si>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</si>
  <si>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</si>
  <si>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</si>
  <si>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</si>
  <si>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</si>
  <si>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</si>
  <si>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</si>
  <si>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</si>
  <si>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</si>
  <si>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</si>
  <si>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</si>
  <si>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</si>
  <si>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</si>
  <si>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</si>
  <si>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</si>
  <si>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</si>
  <si>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</si>
  <si>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</si>
  <si>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</si>
  <si>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</si>
  <si>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</si>
  <si>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</si>
  <si>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</si>
  <si>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</si>
  <si>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</si>
  <si>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</si>
  <si>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</si>
  <si>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</si>
  <si>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</si>
  <si>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</si>
  <si>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</si>
  <si>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</si>
  <si>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</si>
  <si>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</si>
  <si>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</si>
  <si>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</si>
  <si>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</si>
  <si>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</si>
  <si>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</si>
  <si>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</si>
  <si>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</si>
  <si>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</si>
  <si>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</si>
  <si>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</si>
  <si>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</si>
  <si>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</si>
  <si>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</si>
  <si>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</si>
  <si>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</si>
  <si>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</si>
  <si>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</si>
  <si>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</si>
  <si>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</si>
  <si>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</si>
  <si>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</si>
  <si>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</si>
  <si>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</si>
  <si>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</si>
  <si>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</si>
  <si>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</si>
  <si>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</si>
  <si>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</si>
  <si>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</si>
  <si>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</si>
  <si>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</si>
  <si>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</si>
  <si>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</si>
  <si>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</si>
  <si>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</si>
  <si>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</si>
  <si>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</si>
  <si>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</si>
  <si>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</si>
  <si>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</si>
  <si>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</si>
  <si>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</si>
  <si>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</si>
  <si>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</si>
  <si>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</si>
  <si>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</si>
  <si>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</si>
  <si>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</si>
  <si>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</si>
  <si>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</si>
  <si>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</si>
  <si>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</si>
  <si>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</si>
  <si>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</si>
  <si>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</si>
  <si>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</si>
  <si>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</si>
  <si>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</si>
  <si>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</si>
  <si>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</si>
  <si>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</si>
  <si>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</si>
  <si>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</si>
  <si>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</si>
  <si>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</si>
  <si>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</si>
  <si>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</si>
  <si>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</si>
  <si>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</si>
  <si>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</si>
  <si>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</si>
  <si>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</si>
  <si>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</si>
  <si>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</si>
  <si>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</si>
  <si>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</si>
  <si>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</si>
  <si>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</si>
  <si>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</si>
  <si>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</si>
  <si>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</si>
  <si>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</si>
  <si>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</si>
  <si>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</si>
  <si>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</si>
  <si>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</si>
  <si>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</si>
  <si>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</si>
  <si>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</si>
  <si>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</si>
  <si>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</si>
  <si>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</si>
  <si>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</si>
  <si>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</si>
  <si>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</si>
  <si>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</si>
  <si>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</si>
  <si>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</si>
  <si>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</si>
  <si>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</si>
  <si>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</si>
  <si>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</si>
  <si>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</si>
  <si>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</si>
  <si>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</si>
  <si>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</si>
  <si>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</si>
  <si>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</si>
  <si>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</si>
  <si>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</si>
  <si>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</si>
  <si>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</si>
  <si>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</si>
  <si>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</si>
  <si>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</si>
  <si>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</si>
  <si>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</si>
  <si>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</si>
  <si>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</si>
  <si>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</si>
  <si>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</si>
  <si>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</si>
  <si>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</si>
  <si>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</si>
  <si>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</si>
  <si>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</si>
  <si>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</si>
  <si>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</si>
  <si>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</si>
  <si>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</si>
  <si>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</si>
  <si>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</si>
  <si>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</si>
  <si>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</si>
  <si>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</si>
  <si>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</si>
  <si>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</si>
  <si>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</si>
  <si>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</si>
  <si>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</si>
  <si>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</si>
  <si>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</si>
  <si>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</si>
  <si>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</si>
  <si>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</si>
  <si>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</si>
  <si>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</si>
  <si>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</si>
  <si>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</si>
  <si>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</si>
  <si>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</si>
  <si>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</si>
  <si>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</si>
  <si>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</si>
  <si>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</si>
  <si>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</si>
  <si>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</si>
  <si>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</si>
  <si>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</si>
  <si>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</si>
  <si>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</si>
  <si>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</si>
  <si>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</si>
  <si>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</si>
  <si>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</si>
  <si>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</si>
  <si>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</si>
  <si>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</si>
  <si>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</si>
  <si>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</si>
  <si>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</si>
  <si>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</si>
  <si>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</si>
  <si>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</si>
  <si>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</si>
  <si>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</si>
  <si>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</si>
  <si>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</si>
  <si>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</si>
  <si>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</si>
  <si>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</si>
  <si>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</si>
  <si>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</si>
  <si>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</si>
  <si>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</si>
  <si>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</si>
  <si>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</si>
  <si>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</si>
  <si>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</si>
  <si>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</si>
  <si>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</si>
  <si>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</si>
  <si>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</si>
  <si>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</si>
  <si>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</si>
  <si>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</si>
  <si>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</si>
  <si>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</si>
  <si>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</si>
  <si>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</si>
  <si>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</si>
  <si>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</si>
  <si>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</si>
  <si>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</si>
  <si>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</si>
  <si>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</si>
  <si>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</si>
  <si>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</si>
  <si>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</si>
  <si>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</si>
  <si>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</si>
  <si>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</si>
  <si>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</si>
  <si>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</si>
  <si>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</si>
  <si>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</si>
  <si>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</si>
  <si>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</si>
  <si>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</si>
  <si>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</si>
  <si>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</si>
  <si>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</si>
  <si>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</si>
  <si>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</si>
  <si>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</si>
  <si>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</si>
  <si>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</si>
  <si>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</si>
  <si>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</si>
  <si>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</si>
  <si>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</si>
  <si>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</si>
  <si>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</si>
  <si>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</si>
  <si>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</si>
  <si>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</si>
  <si>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</si>
  <si>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</si>
  <si>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</si>
  <si>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</si>
  <si>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</si>
  <si>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</si>
  <si>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</si>
  <si>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</si>
  <si>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</si>
  <si>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</si>
  <si>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</si>
  <si>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</si>
  <si>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</si>
  <si>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</si>
  <si>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</si>
  <si>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</si>
  <si>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</si>
  <si>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</si>
  <si>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</si>
  <si>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</si>
  <si>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</si>
  <si>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</si>
  <si>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</si>
  <si>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</si>
  <si>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</si>
  <si>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</si>
  <si>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</si>
  <si>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</si>
  <si>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</si>
  <si>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</si>
  <si>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</si>
  <si>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</si>
  <si>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</si>
  <si>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</si>
  <si>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</si>
  <si>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</si>
  <si>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</si>
  <si>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</si>
  <si>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</si>
  <si>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</si>
  <si>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</si>
  <si>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</si>
  <si>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</si>
  <si>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</si>
  <si>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</si>
  <si>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</si>
  <si>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</si>
  <si>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</si>
  <si>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</si>
  <si>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</si>
  <si>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</si>
  <si>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</si>
  <si>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</si>
  <si>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</si>
  <si>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</si>
  <si>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</si>
  <si>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</si>
  <si>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</si>
  <si>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</si>
  <si>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</si>
  <si>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</si>
  <si>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</si>
  <si>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</si>
  <si>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</si>
  <si>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</si>
  <si>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</si>
  <si>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</si>
  <si>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</si>
  <si>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</si>
  <si>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</si>
  <si>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</si>
  <si>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</si>
  <si>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</si>
  <si>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</si>
  <si>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</si>
  <si>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</si>
  <si>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</si>
  <si>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</si>
  <si>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</si>
  <si>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</si>
  <si>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</si>
  <si>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</si>
  <si>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</si>
  <si>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</si>
  <si>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</si>
  <si>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</si>
  <si>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</si>
  <si>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</si>
  <si>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</si>
  <si>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</si>
  <si>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</si>
  <si>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</si>
  <si>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</si>
  <si>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</si>
  <si>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</si>
  <si>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</si>
  <si>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</si>
  <si>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</si>
  <si>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</si>
  <si>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</si>
  <si>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</si>
  <si>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</si>
  <si>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</si>
  <si>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</si>
  <si>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</si>
  <si>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</si>
  <si>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</si>
  <si>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</si>
  <si>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</si>
  <si>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</si>
  <si>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</si>
  <si>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</si>
  <si>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</si>
  <si>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</si>
  <si>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</si>
  <si>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</si>
  <si>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</si>
  <si>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</si>
  <si>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</si>
  <si>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</si>
  <si>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</si>
  <si>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</si>
  <si>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</si>
  <si>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</si>
  <si>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</si>
  <si>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</si>
  <si>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</si>
  <si>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</si>
  <si>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</si>
  <si>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</si>
  <si>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</si>
  <si>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</si>
  <si>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</si>
  <si>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</si>
  <si>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</si>
  <si>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</si>
  <si>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</si>
  <si>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</si>
  <si>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</si>
  <si>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</si>
  <si>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</si>
  <si>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</si>
  <si>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</si>
  <si>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</si>
  <si>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</si>
  <si>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</si>
  <si>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</si>
  <si>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</si>
  <si>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</si>
  <si>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</si>
  <si>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</si>
  <si>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</si>
  <si>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</si>
  <si>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</si>
  <si>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</si>
  <si>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</si>
  <si>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</si>
  <si>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</si>
  <si>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</si>
  <si>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</si>
  <si>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</si>
  <si>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</si>
  <si>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</si>
  <si>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</si>
  <si>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</si>
  <si>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</si>
  <si>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</si>
  <si>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</si>
  <si>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</si>
  <si>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</si>
  <si>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</si>
  <si>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</si>
  <si>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</si>
  <si>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</si>
  <si>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</si>
  <si>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</si>
  <si>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</si>
  <si>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</si>
  <si>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</si>
  <si>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</si>
  <si>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</si>
  <si>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</si>
  <si>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</si>
  <si>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</si>
  <si>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</si>
  <si>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</si>
  <si>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</si>
  <si>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</si>
  <si>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</si>
  <si>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</si>
  <si>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</si>
  <si>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</si>
  <si>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</si>
  <si>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</si>
  <si>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</si>
  <si>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</si>
  <si>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</si>
  <si>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</si>
  <si>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</si>
  <si>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</si>
  <si>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</si>
  <si>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</si>
  <si>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</si>
  <si>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</si>
  <si>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</si>
  <si>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</si>
  <si>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</si>
  <si>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</si>
  <si>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</si>
  <si>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</si>
  <si>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</si>
  <si>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</si>
  <si>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</si>
  <si>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</si>
  <si>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</si>
  <si>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</si>
  <si>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</si>
  <si>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</si>
  <si>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</si>
  <si>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</si>
  <si>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</si>
  <si>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</si>
  <si>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</si>
  <si>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</si>
  <si>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</si>
  <si>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</si>
  <si>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</si>
  <si>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</si>
  <si>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</si>
  <si>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</si>
  <si>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</si>
  <si>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</si>
  <si>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</si>
  <si>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</si>
  <si>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</si>
  <si>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</si>
  <si>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</si>
  <si>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</si>
  <si>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</si>
  <si>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</si>
  <si>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</si>
  <si>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</si>
  <si>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</si>
  <si>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</si>
  <si>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</si>
  <si>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</si>
  <si>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</si>
  <si>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</si>
  <si>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</si>
  <si>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</si>
  <si>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</si>
  <si>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</si>
  <si>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</si>
  <si>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</si>
  <si>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</si>
  <si>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</si>
  <si>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</si>
  <si>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</si>
  <si>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</si>
  <si>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</si>
  <si>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</si>
  <si>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</si>
  <si>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</si>
  <si>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</si>
  <si>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</si>
  <si>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</si>
  <si>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</si>
  <si>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</si>
  <si>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</si>
  <si>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</si>
  <si>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</si>
  <si>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</si>
  <si>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</si>
  <si>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</si>
  <si>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</si>
  <si>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</si>
  <si>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</si>
  <si>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</si>
  <si>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</si>
  <si>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</si>
  <si>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</si>
  <si>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</si>
  <si>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</si>
  <si>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</si>
  <si>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</si>
  <si>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</si>
  <si>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</si>
  <si>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</si>
  <si>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</si>
  <si>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</si>
  <si>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</si>
  <si>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</si>
  <si>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</si>
  <si>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</si>
  <si>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</si>
  <si>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</si>
  <si>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</si>
  <si>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</si>
  <si>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</si>
  <si>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</si>
  <si>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</si>
  <si>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</si>
  <si>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</si>
  <si>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</si>
  <si>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</si>
  <si>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</si>
  <si>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</si>
  <si>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</si>
  <si>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</si>
  <si>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</si>
  <si>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</si>
  <si>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</si>
  <si>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</si>
  <si>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</si>
  <si>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</si>
  <si>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</si>
  <si>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</si>
  <si>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</si>
  <si>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</si>
  <si>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</si>
  <si>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</si>
  <si>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</si>
  <si>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</si>
  <si>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</si>
  <si>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</si>
  <si>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</si>
  <si>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</si>
  <si>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</si>
  <si>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</si>
  <si>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</si>
  <si>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</si>
  <si>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</si>
  <si>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</si>
  <si>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</si>
  <si>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</si>
  <si>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</si>
  <si>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</si>
  <si>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</si>
  <si>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</si>
  <si>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</si>
  <si>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</si>
  <si>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</si>
  <si>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</si>
  <si>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</si>
  <si>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</si>
  <si>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</si>
  <si>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</si>
  <si>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</si>
  <si>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</si>
  <si>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</si>
  <si>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</si>
  <si>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</si>
  <si>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</si>
  <si>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</si>
  <si>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</si>
  <si>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</si>
  <si>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</si>
  <si>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</si>
  <si>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</si>
  <si>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</si>
  <si>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</si>
  <si>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</si>
  <si>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</si>
  <si>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</si>
  <si>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</si>
  <si>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</si>
  <si>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</si>
  <si>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</si>
  <si>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</si>
  <si>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</si>
  <si>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</si>
  <si>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</si>
  <si>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</si>
  <si>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</si>
  <si>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</si>
  <si>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</si>
  <si>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</si>
  <si>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</si>
  <si>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</si>
  <si>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</si>
  <si>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</si>
  <si>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</si>
  <si>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</si>
  <si>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</si>
  <si>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</si>
  <si>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</si>
  <si>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</si>
  <si>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</si>
  <si>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</si>
  <si>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</si>
  <si>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</si>
  <si>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</si>
  <si>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</si>
  <si>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</si>
  <si>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</si>
  <si>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</si>
  <si>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</si>
  <si>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</si>
  <si>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</si>
  <si>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</si>
  <si>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</si>
  <si>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</si>
  <si>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</si>
  <si>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</si>
  <si>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</si>
  <si>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</si>
  <si>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</si>
  <si>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</si>
  <si>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</si>
  <si>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</si>
  <si>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</si>
  <si>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</si>
  <si>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</si>
  <si>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</si>
  <si>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</si>
  <si>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</si>
  <si>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</si>
  <si>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</si>
  <si>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</si>
  <si>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</si>
  <si>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</si>
  <si>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</si>
  <si>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</si>
  <si>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</si>
  <si>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</si>
  <si>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</si>
  <si>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</si>
  <si>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</si>
  <si>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</si>
  <si>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</si>
  <si>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</si>
  <si>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</si>
  <si>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</si>
  <si>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</si>
  <si>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</si>
  <si>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</si>
  <si>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</si>
  <si>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</si>
  <si>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</si>
  <si>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</si>
  <si>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</si>
  <si>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</si>
  <si>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</si>
  <si>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</si>
  <si>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</si>
  <si>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</si>
  <si>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</si>
  <si>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</si>
  <si>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</si>
  <si>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</si>
  <si>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</si>
  <si>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</si>
  <si>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</si>
  <si>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</si>
  <si>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</si>
  <si>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</si>
  <si>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</si>
  <si>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</si>
  <si>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</si>
  <si>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</si>
  <si>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</si>
  <si>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</si>
  <si>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</si>
  <si>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</si>
  <si>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</si>
  <si>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</si>
  <si>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</si>
  <si>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</si>
  <si>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</si>
  <si>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</si>
  <si>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</si>
  <si>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</si>
  <si>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</si>
  <si>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</si>
  <si>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</si>
  <si>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</si>
  <si>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</si>
  <si>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</si>
  <si>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</si>
  <si>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</si>
  <si>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</si>
  <si>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</si>
  <si>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</si>
  <si>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</si>
  <si>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</si>
  <si>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</si>
  <si>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</si>
  <si>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</si>
  <si>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</si>
  <si>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</si>
  <si>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</si>
  <si>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</si>
  <si>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</si>
  <si>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</si>
  <si>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</si>
  <si>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</si>
  <si>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</si>
  <si>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</si>
  <si>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</si>
  <si>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</si>
  <si>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</si>
  <si>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</si>
  <si>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</si>
  <si>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</si>
  <si>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</si>
  <si>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</si>
  <si>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</si>
  <si>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</si>
  <si>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</si>
  <si>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</si>
  <si>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</si>
  <si>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</si>
  <si>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</si>
  <si>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</si>
  <si>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</si>
  <si>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</si>
  <si>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</si>
  <si>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</si>
  <si>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</si>
  <si>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</si>
  <si>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</si>
  <si>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</si>
  <si>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</si>
  <si>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</si>
  <si>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</si>
  <si>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</si>
  <si>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</si>
  <si>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</si>
  <si>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</si>
  <si>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</si>
  <si>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</si>
  <si>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</si>
  <si>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</si>
  <si>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</si>
  <si>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</si>
  <si>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</si>
  <si>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</si>
  <si>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</si>
  <si>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</si>
  <si>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</si>
  <si>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</si>
  <si>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</si>
  <si>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</si>
  <si>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</si>
  <si>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</si>
  <si>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</si>
  <si>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</si>
  <si>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</si>
  <si>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</si>
  <si>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</si>
  <si>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</si>
  <si>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</si>
  <si>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</si>
  <si>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</si>
  <si>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</si>
  <si>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</si>
  <si>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</si>
  <si>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</si>
  <si>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</si>
  <si>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</si>
  <si>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</si>
  <si>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</si>
  <si>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</si>
  <si>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</si>
  <si>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</si>
  <si>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</si>
  <si>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</si>
  <si>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</si>
  <si>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</si>
  <si>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</si>
  <si>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</si>
  <si>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</si>
  <si>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</si>
  <si>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</si>
  <si>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</si>
  <si>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</si>
  <si>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</si>
  <si>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</si>
  <si>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</si>
  <si>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</si>
  <si>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</si>
  <si>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</si>
  <si>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</si>
  <si>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</si>
  <si>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</si>
  <si>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</si>
  <si>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</si>
  <si>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</si>
  <si>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</si>
  <si>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</si>
  <si>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</si>
  <si>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</si>
  <si>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</si>
  <si>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</si>
  <si>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</si>
  <si>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</si>
  <si>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</si>
  <si>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</si>
  <si>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</si>
  <si>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</si>
  <si>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</si>
  <si>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</si>
  <si>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</si>
  <si>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</si>
  <si>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</si>
  <si>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</si>
  <si>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</si>
  <si>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</si>
  <si>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</si>
  <si>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</si>
  <si>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</si>
  <si>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</si>
  <si>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</si>
  <si>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</si>
  <si>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</si>
  <si>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</si>
  <si>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</si>
  <si>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</si>
  <si>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</si>
  <si>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</si>
  <si>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</si>
  <si>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</si>
  <si>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</si>
  <si>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</si>
  <si>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</si>
  <si>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</si>
  <si>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</si>
  <si>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</si>
  <si>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</si>
  <si>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</si>
  <si>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</si>
  <si>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</si>
  <si>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</si>
  <si>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</si>
  <si>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</si>
  <si>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</si>
  <si>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</si>
  <si>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</si>
  <si>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</si>
  <si>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</si>
  <si>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</si>
  <si>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</si>
  <si>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</si>
  <si>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</si>
  <si>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</si>
  <si>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</si>
  <si>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</si>
  <si>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</si>
  <si>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</si>
  <si>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</si>
  <si>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</si>
  <si>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</si>
  <si>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</si>
  <si>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</si>
  <si>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</si>
  <si>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</si>
  <si>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</si>
  <si>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</si>
  <si>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</si>
  <si>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</si>
  <si>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</si>
  <si>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</si>
  <si>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</si>
  <si>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</si>
  <si>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</si>
  <si>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</si>
  <si>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</si>
  <si>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</si>
  <si>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</si>
  <si>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</si>
  <si>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</si>
  <si>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</si>
  <si>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</si>
  <si>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</si>
  <si>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</si>
  <si>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</si>
  <si>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</si>
  <si>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</si>
  <si>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</si>
  <si>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</si>
  <si>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</si>
  <si>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</si>
  <si>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</si>
  <si>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</si>
  <si>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</si>
  <si>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</si>
  <si>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</si>
  <si>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</si>
  <si>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</si>
  <si>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</si>
  <si>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</si>
  <si>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</si>
  <si>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</si>
  <si>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</si>
  <si>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</si>
  <si>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</si>
  <si>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</si>
  <si>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</si>
  <si>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</si>
  <si>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</si>
  <si>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</si>
  <si>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</si>
  <si>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</si>
  <si>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</si>
  <si>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</si>
  <si>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</si>
  <si>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</si>
  <si>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</si>
  <si>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</si>
  <si>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</si>
  <si>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</si>
  <si>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</si>
  <si>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</si>
  <si>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</si>
  <si>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</si>
  <si>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</si>
  <si>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</si>
  <si>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</si>
  <si>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</si>
  <si>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</si>
  <si>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</si>
  <si>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</si>
  <si>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</si>
  <si>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</si>
  <si>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</si>
  <si>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</si>
  <si>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</si>
  <si>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</si>
  <si>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</si>
  <si>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</si>
  <si>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</si>
  <si>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</si>
  <si>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</si>
  <si>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</si>
  <si>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</si>
  <si>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</si>
  <si>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</si>
  <si>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</si>
  <si>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</si>
  <si>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</si>
  <si>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</si>
  <si>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</si>
  <si>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</si>
  <si>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</si>
  <si>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</si>
  <si>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</si>
  <si>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</si>
  <si>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</si>
  <si>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</si>
  <si>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</si>
  <si>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</si>
  <si>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</si>
  <si>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</si>
  <si>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</si>
  <si>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</si>
  <si>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</si>
  <si>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</si>
  <si>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</si>
  <si>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</si>
  <si>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</si>
  <si>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</si>
  <si>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</si>
  <si>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</si>
  <si>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</si>
  <si>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</si>
  <si>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</si>
  <si>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</si>
  <si>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</si>
  <si>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</si>
  <si>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</si>
  <si>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</si>
  <si>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</si>
  <si>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</si>
  <si>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</si>
  <si>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</si>
  <si>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</si>
  <si>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</si>
  <si>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</si>
  <si>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</si>
  <si>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</si>
  <si>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</si>
  <si>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</si>
  <si>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</si>
  <si>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</si>
  <si>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</si>
  <si>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</si>
  <si>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</si>
  <si>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</si>
  <si>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</si>
  <si>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</si>
  <si>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</si>
  <si>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</si>
  <si>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</si>
  <si>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</si>
  <si>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</si>
  <si>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</si>
  <si>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</si>
  <si>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</si>
  <si>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</si>
  <si>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</si>
  <si>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</si>
  <si>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</si>
  <si>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</si>
  <si>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</si>
  <si>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</si>
  <si>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</si>
  <si>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</si>
  <si>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</si>
  <si>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</si>
  <si>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</si>
  <si>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</si>
  <si>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</si>
  <si>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</si>
  <si>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</si>
  <si>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</si>
  <si>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</si>
  <si>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</si>
  <si>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</si>
  <si>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</si>
  <si>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</si>
  <si>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</si>
  <si>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</si>
  <si>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</si>
  <si>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</si>
  <si>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</si>
  <si>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</si>
  <si>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</si>
  <si>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</si>
  <si>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</si>
  <si>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</si>
  <si>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</si>
  <si>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</si>
  <si>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</si>
  <si>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</si>
  <si>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</si>
  <si>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</si>
  <si>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</si>
  <si>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</si>
  <si>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</si>
  <si>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</si>
  <si>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</si>
  <si>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</si>
  <si>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</si>
  <si>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</si>
  <si>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</si>
  <si>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</si>
  <si>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</si>
  <si>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</si>
  <si>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</si>
  <si>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</si>
  <si>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</si>
  <si>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</si>
  <si>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</si>
  <si>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</si>
  <si>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</si>
  <si>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</si>
  <si>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</si>
  <si>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</si>
  <si>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</si>
  <si>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</si>
  <si>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</si>
  <si>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</si>
  <si>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</si>
  <si>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</si>
  <si>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</si>
  <si>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</si>
  <si>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</si>
  <si>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</si>
  <si>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</si>
  <si>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</si>
  <si>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</si>
  <si>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</si>
  <si>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</si>
  <si>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</si>
  <si>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</si>
  <si>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</si>
  <si>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</si>
  <si>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</si>
  <si>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</si>
  <si>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</si>
  <si>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</si>
  <si>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</si>
  <si>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</si>
  <si>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</si>
  <si>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</si>
  <si>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</si>
  <si>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</si>
  <si>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</si>
  <si>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</si>
  <si>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</si>
  <si>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</si>
  <si>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</si>
  <si>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</si>
  <si>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</si>
  <si>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</si>
  <si>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</si>
  <si>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</si>
  <si>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</si>
  <si>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</si>
  <si>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</si>
  <si>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</si>
  <si>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</si>
  <si>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</si>
  <si>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</si>
  <si>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</si>
  <si>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</si>
  <si>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</si>
  <si>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</si>
  <si>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</si>
  <si>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</si>
  <si>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</si>
  <si>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</si>
  <si>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</si>
  <si>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</si>
  <si>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</si>
  <si>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</si>
  <si>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</si>
  <si>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</si>
  <si>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</si>
  <si>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</si>
  <si>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</si>
  <si>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</si>
  <si>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</si>
  <si>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</si>
  <si>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</si>
  <si>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</si>
  <si>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</si>
  <si>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</si>
  <si>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</si>
  <si>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</si>
  <si>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</si>
  <si>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</si>
  <si>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</si>
  <si>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</si>
  <si>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</si>
  <si>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</si>
  <si>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</si>
  <si>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</si>
  <si>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</si>
  <si>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</si>
  <si>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</si>
  <si>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</si>
  <si>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</si>
  <si>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</si>
  <si>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</si>
  <si>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</si>
  <si>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</si>
  <si>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</si>
  <si>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</si>
  <si>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</si>
  <si>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</si>
  <si>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</si>
  <si>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</si>
  <si>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</si>
  <si>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</si>
  <si>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</si>
  <si>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</si>
  <si>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</si>
  <si>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</si>
  <si>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</si>
  <si>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</si>
  <si>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</si>
  <si>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</si>
  <si>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</si>
  <si>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</si>
  <si>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</si>
  <si>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</si>
  <si>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</si>
  <si>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</si>
  <si>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</si>
  <si>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</si>
  <si>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</si>
  <si>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</si>
  <si>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</si>
  <si>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</si>
  <si>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</si>
  <si>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</si>
  <si>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</si>
  <si>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</si>
  <si>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</si>
  <si>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</si>
  <si>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</si>
  <si>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</si>
  <si>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</si>
  <si>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</si>
  <si>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</si>
  <si>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</si>
  <si>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</si>
  <si>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</si>
  <si>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</si>
  <si>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</si>
  <si>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</si>
  <si>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</si>
  <si>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</si>
  <si>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</si>
  <si>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</si>
  <si>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</si>
  <si>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</si>
  <si>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</si>
  <si>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</si>
  <si>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</si>
  <si>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</si>
  <si>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</si>
  <si>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</si>
  <si>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</si>
  <si>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</si>
  <si>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</si>
  <si>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</si>
  <si>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</si>
  <si>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</si>
  <si>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</si>
  <si>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</si>
  <si>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</si>
  <si>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</si>
  <si>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</si>
  <si>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</si>
  <si>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</si>
  <si>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</si>
  <si>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</si>
  <si>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</si>
  <si>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</si>
  <si>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</si>
  <si>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</si>
  <si>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</si>
  <si>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</si>
  <si>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</si>
  <si>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</si>
  <si>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</si>
  <si>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</si>
  <si>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</si>
  <si>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</si>
  <si>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</si>
  <si>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</si>
  <si>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</si>
  <si>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</si>
  <si>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</si>
  <si>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</si>
  <si>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</si>
  <si>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</si>
  <si>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</si>
  <si>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</si>
  <si>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</si>
  <si>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</si>
  <si>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</si>
  <si>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</si>
  <si>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</si>
  <si>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</si>
  <si>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</si>
  <si>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</si>
  <si>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</si>
  <si>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</si>
  <si>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</si>
  <si>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</si>
  <si>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</si>
  <si>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</si>
  <si>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</si>
  <si>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</si>
  <si>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</si>
  <si>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</si>
  <si>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</si>
  <si>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</si>
  <si>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</si>
  <si>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</si>
  <si>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</si>
  <si>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</si>
  <si>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</si>
  <si>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</si>
  <si>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</si>
  <si>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</si>
  <si>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</si>
  <si>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</si>
  <si>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</si>
  <si>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</si>
  <si>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</si>
  <si>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</si>
  <si>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</si>
  <si>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</si>
  <si>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</si>
  <si>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</si>
  <si>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</si>
  <si>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</si>
  <si>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</si>
  <si>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</si>
  <si>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</si>
  <si>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</si>
  <si>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</si>
  <si>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</si>
  <si>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</si>
  <si>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</si>
  <si>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</si>
  <si>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</si>
  <si>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</si>
  <si>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</si>
  <si>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</si>
  <si>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</si>
  <si>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</si>
  <si>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</si>
  <si>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</si>
  <si>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</si>
  <si>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</si>
  <si>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</si>
  <si>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</si>
  <si>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</si>
  <si>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</si>
  <si>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</si>
  <si>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</si>
  <si>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</si>
  <si>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</si>
  <si>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</si>
  <si>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</si>
  <si>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</si>
  <si>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</si>
  <si>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</si>
  <si>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</si>
  <si>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</si>
  <si>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</si>
  <si>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</si>
  <si>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</si>
  <si>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</si>
  <si>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</si>
  <si>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</si>
  <si>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</si>
  <si>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</si>
  <si>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</si>
  <si>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</si>
  <si>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</si>
  <si>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</si>
  <si>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</si>
  <si>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</si>
  <si>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</si>
  <si>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</si>
  <si>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</si>
  <si>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</si>
  <si>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</si>
  <si>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</si>
  <si>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</si>
  <si>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</si>
  <si>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</si>
  <si>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</si>
  <si>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</si>
  <si>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</si>
  <si>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</si>
  <si>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</si>
  <si>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</si>
  <si>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</si>
  <si>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</si>
  <si>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</si>
  <si>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</si>
  <si>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</si>
  <si>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</si>
  <si>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</si>
  <si>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</si>
  <si>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</si>
  <si>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</si>
  <si>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</si>
  <si>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</si>
  <si>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</si>
  <si>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</si>
  <si>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</si>
  <si>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</si>
  <si>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</si>
  <si>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</si>
  <si>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</si>
  <si>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</si>
  <si>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</si>
  <si>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</si>
  <si>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</si>
  <si>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</si>
  <si>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</si>
  <si>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</si>
  <si>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</si>
  <si>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</si>
  <si>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</si>
  <si>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</si>
  <si>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</si>
  <si>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</si>
  <si>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</si>
  <si>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</si>
  <si>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</si>
  <si>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</si>
  <si>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</si>
  <si>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</si>
  <si>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</si>
  <si>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</si>
  <si>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</si>
  <si>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</si>
  <si>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</si>
  <si>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</si>
  <si>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</si>
  <si>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</si>
  <si>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</si>
  <si>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</si>
  <si>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</si>
  <si>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</si>
  <si>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</si>
  <si>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</si>
  <si>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</si>
  <si>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</si>
  <si>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</si>
  <si>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</si>
  <si>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</si>
  <si>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</si>
  <si>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</si>
  <si>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</si>
  <si>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</si>
  <si>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</si>
  <si>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</si>
  <si>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</si>
  <si>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</si>
  <si>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</si>
  <si>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</si>
  <si>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</si>
  <si>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</si>
  <si>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</si>
  <si>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</si>
  <si>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</si>
  <si>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</si>
  <si>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</si>
  <si>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</si>
  <si>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</si>
  <si>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</si>
  <si>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</si>
  <si>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</si>
  <si>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</si>
  <si>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</si>
  <si>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</si>
  <si>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</si>
  <si>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</si>
  <si>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</si>
  <si>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</si>
  <si>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</si>
  <si>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</si>
  <si>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</si>
  <si>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</si>
  <si>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</si>
  <si>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</si>
  <si>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</si>
  <si>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</si>
  <si>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</si>
  <si>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</si>
  <si>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</si>
  <si>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</si>
  <si>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</si>
  <si>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</si>
  <si>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</si>
  <si>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</si>
  <si>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</si>
  <si>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</si>
  <si>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</si>
  <si>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</si>
  <si>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</si>
  <si>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</si>
  <si>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</si>
  <si>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</si>
  <si>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</si>
  <si>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</si>
  <si>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</si>
  <si>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</si>
  <si>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</si>
  <si>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</si>
  <si>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</si>
  <si>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</si>
  <si>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</si>
  <si>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</si>
  <si>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</si>
  <si>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</si>
  <si>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</si>
  <si>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</si>
  <si>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</si>
  <si>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</si>
  <si>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</si>
  <si>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</si>
  <si>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</si>
  <si>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</si>
  <si>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</si>
  <si>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</si>
  <si>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</si>
  <si>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</si>
  <si>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</si>
  <si>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</si>
  <si>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</si>
  <si>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</si>
  <si>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</si>
  <si>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</si>
  <si>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</si>
  <si>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</si>
  <si>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</si>
  <si>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</si>
  <si>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</si>
  <si>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</si>
  <si>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</si>
  <si>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</si>
  <si>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</si>
  <si>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</si>
  <si>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</si>
  <si>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</si>
  <si>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</si>
  <si>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</si>
  <si>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</si>
  <si>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</si>
  <si>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</si>
  <si>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</si>
  <si>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</si>
  <si>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</si>
  <si>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</si>
  <si>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</si>
  <si>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</si>
  <si>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</si>
  <si>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</si>
  <si>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</si>
  <si>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</si>
  <si>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</si>
  <si>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</si>
  <si>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</si>
  <si>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</si>
  <si>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</si>
  <si>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</si>
  <si>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</si>
  <si>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</si>
  <si>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</si>
  <si>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</si>
  <si>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</si>
  <si>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</si>
  <si>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</si>
  <si>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</si>
  <si>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</si>
  <si>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</si>
  <si>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</si>
  <si>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</si>
  <si>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</si>
  <si>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</si>
  <si>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</si>
  <si>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</si>
  <si>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</si>
  <si>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</si>
  <si>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</si>
  <si>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</si>
  <si>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</si>
  <si>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</si>
  <si>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</si>
  <si>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</si>
  <si>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</si>
  <si>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</si>
  <si>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</si>
  <si>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</si>
  <si>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</si>
  <si>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</si>
  <si>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</si>
  <si>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</si>
  <si>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</si>
  <si>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</si>
  <si>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</si>
  <si>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</si>
  <si>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</si>
  <si>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</si>
  <si>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</si>
  <si>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</si>
  <si>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</si>
  <si>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</si>
  <si>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</si>
  <si>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</si>
  <si>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</si>
  <si>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</si>
  <si>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</si>
  <si>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</si>
  <si>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</si>
  <si>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</si>
  <si>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</si>
  <si>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</si>
  <si>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</si>
  <si>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</si>
  <si>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</si>
  <si>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</si>
  <si>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</si>
  <si>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</si>
  <si>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</si>
  <si>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</si>
  <si>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</si>
  <si>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</si>
  <si>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</si>
  <si>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</si>
  <si>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</si>
  <si>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</si>
  <si>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</si>
  <si>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</si>
  <si>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</si>
  <si>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</si>
  <si>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</si>
  <si>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</si>
  <si>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</si>
  <si>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</si>
  <si>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</si>
  <si>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</si>
  <si>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</si>
  <si>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</si>
  <si>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</si>
  <si>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</si>
  <si>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</si>
  <si>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</si>
  <si>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</si>
  <si>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</si>
  <si>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</si>
  <si>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</si>
  <si>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</si>
  <si>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</si>
  <si>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</si>
  <si>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</si>
  <si>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</si>
  <si>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</si>
  <si>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</si>
  <si>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</si>
  <si>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</si>
  <si>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</si>
  <si>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</si>
  <si>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</si>
  <si>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</si>
  <si>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</si>
  <si>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</si>
  <si>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</si>
  <si>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</si>
  <si>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</si>
  <si>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</si>
  <si>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</si>
  <si>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</si>
  <si>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</si>
  <si>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</si>
  <si>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</si>
  <si>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</si>
  <si>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</si>
  <si>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</si>
  <si>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</si>
  <si>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</si>
  <si>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</si>
  <si>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</si>
  <si>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</si>
  <si>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</si>
  <si>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</si>
  <si>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</si>
  <si>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</si>
  <si>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</si>
  <si>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</si>
  <si>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</si>
  <si>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</si>
  <si>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</si>
  <si>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</si>
  <si>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</si>
  <si>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</si>
  <si>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</si>
  <si>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</si>
  <si>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</si>
  <si>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</si>
  <si>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</si>
  <si>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</si>
  <si>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</si>
  <si>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</si>
  <si>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</si>
  <si>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</si>
  <si>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</si>
  <si>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</si>
  <si>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</si>
  <si>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</si>
  <si>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</si>
  <si>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</si>
  <si>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</si>
  <si>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</si>
  <si>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</si>
  <si>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</si>
  <si>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</si>
  <si>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</si>
  <si>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</si>
  <si>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</si>
  <si>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</si>
  <si>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</si>
  <si>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</si>
  <si>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</si>
  <si>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</si>
  <si>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</si>
  <si>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</si>
  <si>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</si>
  <si>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</si>
  <si>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</si>
  <si>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</si>
  <si>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</si>
  <si>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</si>
  <si>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</si>
  <si>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</si>
  <si>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</si>
  <si>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t>
  </si>
  <si>
    <t>Avg. Delivary</t>
  </si>
  <si>
    <t>Row Labels</t>
  </si>
  <si>
    <t>Grand Total</t>
  </si>
  <si>
    <t>Column Labels</t>
  </si>
  <si>
    <t>Female</t>
  </si>
  <si>
    <t>Male</t>
  </si>
  <si>
    <t>Other</t>
  </si>
  <si>
    <t>Unknown</t>
  </si>
  <si>
    <t>For Matrix</t>
  </si>
  <si>
    <t>6 to 10</t>
  </si>
  <si>
    <t>11+</t>
  </si>
  <si>
    <t>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</si>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</sst>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409]* #,##0.00_ ;_-[$$-409]* \-#,##0.00\ ;_-[$$-409]* &quot;-&quot;??_ ;_-@_ "/>
    <numFmt numFmtId="168" formatCode="0.0%"/>
  </numFmts>
  <fonts count="3" x14ac:knownFonts="1">
    <font>
      <sz val="11"/>
      <color theme="1"/>
      <name val="Aptos Narrow"/>
      <family val="2"/>
      <scheme val="minor"/>
    </font>
    <font>
      <b/>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7"/>
        <bgColor theme="7"/>
      </patternFill>
    </fill>
    <fill>
      <patternFill patternType="solid">
        <fgColor theme="0" tint="-0.14999847407452621"/>
        <bgColor theme="0" tint="-0.14999847407452621"/>
      </patternFill>
    </fill>
  </fills>
  <borders count="12">
    <border>
      <left/>
      <right/>
      <top/>
      <bottom/>
      <diagonal/>
    </border>
    <border>
      <left/>
      <right/>
      <top style="medium">
        <color theme="1"/>
      </top>
      <bottom style="medium">
        <color theme="1"/>
      </bottom>
      <diagonal/>
    </border>
    <border>
      <left/>
      <right/>
      <top/>
      <bottom style="medium">
        <color theme="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2" fillId="3" borderId="1" xfId="0" applyFont="1" applyFill="1" applyBorder="1"/>
    <xf numFmtId="0" fontId="0" fillId="4" borderId="0" xfId="0" applyFont="1" applyFill="1"/>
    <xf numFmtId="0" fontId="0" fillId="0" borderId="0" xfId="0" applyFont="1"/>
    <xf numFmtId="0" fontId="0" fillId="0" borderId="2" xfId="0" applyFont="1" applyBorder="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0"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168" fontId="0" fillId="0" borderId="7" xfId="0" applyNumberFormat="1" applyBorder="1"/>
    <xf numFmtId="168" fontId="0" fillId="0" borderId="8" xfId="0" applyNumberFormat="1" applyBorder="1"/>
    <xf numFmtId="0" fontId="0" fillId="0" borderId="9" xfId="0" applyBorder="1"/>
    <xf numFmtId="168" fontId="0" fillId="0" borderId="10" xfId="0" applyNumberFormat="1" applyBorder="1"/>
    <xf numFmtId="168" fontId="0" fillId="0" borderId="11" xfId="0" applyNumberFormat="1" applyBorder="1"/>
  </cellXfs>
  <cellStyles count="1">
    <cellStyle name="Normal" xfId="0" builtinId="0"/>
  </cellStyles>
  <dxfs count="9">
    <dxf>
      <numFmt numFmtId="165" formatCode="_-[$$-409]* #,##0.00_ ;_-[$$-409]* \-#,##0.00\ ;_-[$$-409]* &quot;-&quot;??_ ;_-@_ "/>
    </dxf>
    <dxf>
      <numFmt numFmtId="1" formatCode="0"/>
    </dxf>
    <dxf>
      <numFmt numFmtId="0" formatCode="General"/>
    </dxf>
    <dxf>
      <numFmt numFmtId="14" formatCode="0.00%"/>
    </dxf>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 calculations!How our customers like to buy</c:name>
    <c:fmtId val="10"/>
  </c:pivotSource>
  <c:chart>
    <c:autoTitleDeleted val="0"/>
    <c:pivotFmts>
      <c:pivotFmt>
        <c:idx val="0"/>
        <c:spPr>
          <a:ln w="28575" cap="rnd">
            <a:solidFill>
              <a:srgbClr val="FF000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260074534882"/>
          <c:y val="0.16199376947040497"/>
          <c:w val="0.5862540663080098"/>
          <c:h val="0.65530649790271545"/>
        </c:manualLayout>
      </c:layout>
      <c:lineChart>
        <c:grouping val="stacked"/>
        <c:varyColors val="0"/>
        <c:ser>
          <c:idx val="0"/>
          <c:order val="0"/>
          <c:tx>
            <c:strRef>
              <c:f>'Pivote calculations'!$B$7</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'Pivote calculations'!$A$8:$A$21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 calculations'!$B$8:$B$21</c:f>
              <c:numCache>
                <c:formatCode>0</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24D0-4F1D-B7EA-19E9DC5DB370}"/>
            </c:ext>
          </c:extLst>
        </c:ser>
        <c:dLbls>
          <c:showLegendKey val="0"/>
          <c:showVal val="0"/>
          <c:showCatName val="0"/>
          <c:showSerName val="0"/>
          <c:showPercent val="0"/>
          <c:showBubbleSize val="0"/>
        </c:dLbls>
        <c:marker val="1"/>
        <c:smooth val="0"/>
        <c:axId val="1944451136"/>
        <c:axId val="1583716080"/>
      </c:lineChart>
      <c:lineChart>
        <c:grouping val="stacked"/>
        <c:varyColors val="0"/>
        <c:ser>
          <c:idx val="1"/>
          <c:order val="1"/>
          <c:tx>
            <c:strRef>
              <c:f>'Pivote calculations'!$C$7</c:f>
              <c:strCache>
                <c:ptCount val="1"/>
                <c:pt idx="0">
                  <c:v>Sum of Amount</c:v>
                </c:pt>
              </c:strCache>
            </c:strRef>
          </c:tx>
          <c:spPr>
            <a:ln w="28575" cap="rnd">
              <a:solidFill>
                <a:srgbClr val="FF0000"/>
              </a:solidFill>
              <a:round/>
            </a:ln>
            <a:effectLst/>
          </c:spPr>
          <c:marker>
            <c:symbol val="circle"/>
            <c:size val="5"/>
            <c:spPr>
              <a:solidFill>
                <a:schemeClr val="accent5"/>
              </a:solidFill>
              <a:ln w="9525">
                <a:solidFill>
                  <a:schemeClr val="accent5"/>
                </a:solidFill>
              </a:ln>
              <a:effectLst/>
            </c:spPr>
          </c:marker>
          <c:cat>
            <c:strRef>
              <c:f>'Pivote calculations'!$A$8:$A$21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 calculations'!$C$8:$C$21</c:f>
              <c:numCache>
                <c:formatCode>_-[$$-409]* #,##0.00_ ;_-[$$-409]* \-#,##0.00\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2-24D0-4F1D-B7EA-19E9DC5DB370}"/>
            </c:ext>
          </c:extLst>
        </c:ser>
        <c:dLbls>
          <c:showLegendKey val="0"/>
          <c:showVal val="0"/>
          <c:showCatName val="0"/>
          <c:showSerName val="0"/>
          <c:showPercent val="0"/>
          <c:showBubbleSize val="0"/>
        </c:dLbls>
        <c:marker val="1"/>
        <c:smooth val="0"/>
        <c:axId val="1881091520"/>
        <c:axId val="1583669520"/>
      </c:lineChart>
      <c:catAx>
        <c:axId val="1944451136"/>
        <c:scaling>
          <c:orientation val="minMax"/>
        </c:scaling>
        <c:delete val="0"/>
        <c:axPos val="b"/>
        <c:title>
          <c:layout>
            <c:manualLayout>
              <c:xMode val="edge"/>
              <c:yMode val="edge"/>
              <c:x val="0.41240773770681982"/>
              <c:y val="2.6759879314151174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16080"/>
        <c:crosses val="autoZero"/>
        <c:auto val="1"/>
        <c:lblAlgn val="ctr"/>
        <c:lblOffset val="100"/>
        <c:noMultiLvlLbl val="0"/>
      </c:catAx>
      <c:valAx>
        <c:axId val="15837160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451136"/>
        <c:crosses val="autoZero"/>
        <c:crossBetween val="between"/>
      </c:valAx>
      <c:valAx>
        <c:axId val="1583669520"/>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1520"/>
        <c:crosses val="max"/>
        <c:crossBetween val="between"/>
      </c:valAx>
      <c:catAx>
        <c:axId val="1881091520"/>
        <c:scaling>
          <c:orientation val="minMax"/>
        </c:scaling>
        <c:delete val="1"/>
        <c:axPos val="b"/>
        <c:numFmt formatCode="General" sourceLinked="1"/>
        <c:majorTickMark val="out"/>
        <c:minorTickMark val="none"/>
        <c:tickLblPos val="nextTo"/>
        <c:crossAx val="1583669520"/>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 calculations!Which products are popular?</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calculations'!$B$35</c:f>
              <c:strCache>
                <c:ptCount val="1"/>
                <c:pt idx="0">
                  <c:v>Total</c:v>
                </c:pt>
              </c:strCache>
            </c:strRef>
          </c:tx>
          <c:spPr>
            <a:solidFill>
              <a:schemeClr val="accent1"/>
            </a:solidFill>
            <a:ln>
              <a:noFill/>
            </a:ln>
            <a:effectLst/>
          </c:spPr>
          <c:invertIfNegative val="0"/>
          <c:cat>
            <c:strRef>
              <c:f>'Pivote calculations'!$A$36:$A$43</c:f>
              <c:strCache>
                <c:ptCount val="7"/>
                <c:pt idx="0">
                  <c:v>1</c:v>
                </c:pt>
                <c:pt idx="1">
                  <c:v>2</c:v>
                </c:pt>
                <c:pt idx="2">
                  <c:v>3</c:v>
                </c:pt>
                <c:pt idx="3">
                  <c:v>4</c:v>
                </c:pt>
                <c:pt idx="4">
                  <c:v>5</c:v>
                </c:pt>
                <c:pt idx="5">
                  <c:v>6 to 10</c:v>
                </c:pt>
                <c:pt idx="6">
                  <c:v>11+</c:v>
                </c:pt>
              </c:strCache>
            </c:strRef>
          </c:cat>
          <c:val>
            <c:numRef>
              <c:f>'Pivote calculations'!$B$36:$B$43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0AC5-4098-AD2B-D5F62F5D2185}"/>
            </c:ext>
          </c:extLst>
        </c:ser>
        <c:dLbls>
          <c:showLegendKey val="0"/>
          <c:showVal val="0"/>
          <c:showCatName val="0"/>
          <c:showSerName val="0"/>
          <c:showPercent val="0"/>
          <c:showBubbleSize val="0"/>
        </c:dLbls>
        <c:gapWidth val="219"/>
        <c:overlap val="-27"/>
        <c:axId val="2045785216"/>
        <c:axId val="1885841584"/>
      </c:barChart>
      <c:catAx>
        <c:axId val="204578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41584"/>
        <c:crosses val="autoZero"/>
        <c:auto val="1"/>
        <c:lblAlgn val="ctr"/>
        <c:lblOffset val="100"/>
        <c:noMultiLvlLbl val="0"/>
      </c:catAx>
      <c:valAx>
        <c:axId val="188584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[ecommerce-blank.xlsx]Pivote calculations!PivotTable6</c:name>
    <c:fmtId val="5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 calculations'!$B$45:$B$46</c:f>
              <c:strCache>
                <c:ptCount val="1"/>
                <c:pt idx="0">
                  <c:v>Female</c:v>
                </c:pt>
              </c:strCache>
            </c:strRef>
          </c:tx>
          <c:spPr>
            <a:solidFill>
              <a:schemeClr val="accent6">
                <a:tint val="58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calculations'!$B$47:$B$67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89E-4D3D-9B65-EA99AA79928B}"/>
            </c:ext>
          </c:extLst>
        </c:ser>
        <c:ser>
          <c:idx val="1"/>
          <c:order val="1"/>
          <c:tx>
            <c:strRef>
              <c:f>'Pivote calculations'!$C$45:$C$46</c:f>
              <c:strCache>
                <c:ptCount val="1"/>
                <c:pt idx="0">
                  <c:v>Male</c:v>
                </c:pt>
              </c:strCache>
            </c:strRef>
          </c:tx>
          <c:spPr>
            <a:solidFill>
              <a:schemeClr val="accent6">
                <a:tint val="86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calculations'!$C$47:$C$67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9-189E-4D3D-9B65-EA99AA79928B}"/>
            </c:ext>
          </c:extLst>
        </c:ser>
        <c:ser>
          <c:idx val="2"/>
          <c:order val="2"/>
          <c:tx>
            <c:strRef>
              <c:f>'Pivote calculations'!$D$45:$D$46</c:f>
              <c:strCache>
                <c:ptCount val="1"/>
                <c:pt idx="0">
                  <c:v>Other</c:v>
                </c:pt>
              </c:strCache>
            </c:strRef>
          </c:tx>
          <c:spPr>
            <a:solidFill>
              <a:schemeClr val="accent6">
                <a:shade val="86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calculations'!$D$47:$D$67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A-189E-4D3D-9B65-EA99AA79928B}"/>
            </c:ext>
          </c:extLst>
        </c:ser>
        <c:ser>
          <c:idx val="3"/>
          <c:order val="3"/>
          <c:tx>
            <c:strRef>
              <c:f>'Pivote calculations'!$E$45:$E$46</c:f>
              <c:strCache>
                <c:ptCount val="1"/>
                <c:pt idx="0">
                  <c:v>Unknown</c:v>
                </c:pt>
              </c:strCache>
            </c:strRef>
          </c:tx>
          <c:spPr>
            <a:solidFill>
              <a:schemeClr val="accent6">
                <a:shade val="58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calculations'!$E$47:$E$67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B-189E-4D3D-9B65-EA99AA79928B}"/>
            </c:ext>
          </c:extLst>
        </c:ser>
        <c:dLbls>
          <c:showLegendKey val="0"/>
          <c:showVal val="0"/>
          <c:showCatName val="0"/>
          <c:showSerName val="0"/>
          <c:showPercent val="0"/>
          <c:showBubbleSize val="0"/>
        </c:dLbls>
        <c:gapWidth val="182"/>
        <c:overlap val="100"/>
        <c:axId val="2043118880"/>
        <c:axId val="1885856464"/>
      </c:barChart>
      <c:catAx>
        <c:axId val="204311888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56464"/>
        <c:crosses val="autoZero"/>
        <c:auto val="1"/>
        <c:lblAlgn val="ctr"/>
        <c:lblOffset val="100"/>
        <c:noMultiLvlLbl val="0"/>
      </c:catAx>
      <c:valAx>
        <c:axId val="188585646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1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[ecommerce-blank.xlsx]Pivote calculations!PivotTable7</c:name>
    <c:fmtId val="67"/>
  </c:pivotSource>
  <c:chart>
    <c:autoTitleDeleted val="1"/>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w="19050">
            <a:solidFill>
              <a:schemeClr val="lt1"/>
            </a:solidFill>
          </a:ln>
          <a:effectLst/>
        </c:spPr>
        <c:dLbl>
          <c:idx val="0"/>
          <c:layout>
            <c:manualLayout>
              <c:x val="0.23957906655247196"/>
              <c:y val="0.1483937909924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8FD08E-F552-42DF-A32A-43A23F59C568}" type="CATEGORYNAME">
                  <a:rPr lang="en-US" sz="800" b="1"/>
                  <a:pPr>
                    <a:defRPr/>
                  </a:pPr>
                  <a:t>[CATEGORY NAME]</a:t>
                </a:fld>
                <a:r>
                  <a:rPr lang="en-US" baseline="0"/>
                  <a:t>
</a:t>
                </a:r>
                <a:fld id="{ED003D34-A96E-4FCD-A419-83BB9C5FC673}"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41866780120475"/>
                  <c:h val="0.38057947708335849"/>
                </c:manualLayout>
              </c15:layout>
              <c15:dlblFieldTable/>
              <c15:showDataLabelsRange val="0"/>
            </c:ext>
          </c:extLst>
        </c:dLbl>
      </c:pivotFmt>
      <c:pivotFmt>
        <c:idx val="2"/>
        <c:spPr>
          <a:solidFill>
            <a:schemeClr val="accent6">
              <a:shade val="58000"/>
            </a:schemeClr>
          </a:solidFill>
          <a:ln w="19050">
            <a:solidFill>
              <a:schemeClr val="lt1"/>
            </a:solidFill>
          </a:ln>
          <a:effectLst/>
        </c:spPr>
        <c:dLbl>
          <c:idx val="0"/>
          <c:layout>
            <c:manualLayout>
              <c:x val="0.40167508981630384"/>
              <c:y val="-6.2483763971547014E-2"/>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85C495-58A9-4416-9849-31F711635EB3}" type="CATEGORYNAME">
                  <a:rPr lang="en-US" sz="800" b="1"/>
                  <a:pPr>
                    <a:defRPr/>
                  </a:pPr>
                  <a:t>[CATEGORY NAME]</a:t>
                </a:fld>
                <a:r>
                  <a:rPr lang="en-US" baseline="0"/>
                  <a:t>
</a:t>
                </a:r>
                <a:fld id="{BA048710-0E60-40A6-8F26-0C069CC0FD9D}"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38616266809376"/>
                  <c:h val="0.38057960515079453"/>
                </c:manualLayout>
              </c15:layout>
              <c15:dlblFieldTable/>
              <c15:showDataLabelsRange val="0"/>
            </c:ext>
          </c:extLst>
        </c:dLbl>
      </c:pivotFmt>
      <c:pivotFmt>
        <c:idx val="3"/>
        <c:spPr>
          <a:solidFill>
            <a:schemeClr val="accent6">
              <a:shade val="86000"/>
            </a:schemeClr>
          </a:solidFill>
          <a:ln w="19050">
            <a:solidFill>
              <a:schemeClr val="lt1"/>
            </a:solidFill>
          </a:ln>
          <a:effectLst/>
        </c:spPr>
        <c:dLbl>
          <c:idx val="0"/>
          <c:layout>
            <c:manualLayout>
              <c:x val="-0.19857142358428212"/>
              <c:y val="-0.10753868081523296"/>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D11CF0F-EFA3-4EB8-8BC6-8580A1A77480}" type="CATEGORYNAME">
                  <a:rPr lang="en-US" sz="800" b="1"/>
                  <a:pPr>
                    <a:defRPr/>
                  </a:pPr>
                  <a:t>[CATEGORY NAME]</a:t>
                </a:fld>
                <a:r>
                  <a:rPr lang="en-US" baseline="0"/>
                  <a:t>
</a:t>
                </a:r>
                <a:fld id="{7FC8BDBD-3C4B-4402-90BA-63D20888C0EA}"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094245431441363"/>
                  <c:h val="0.27358731405992143"/>
                </c:manualLayout>
              </c15:layout>
              <c15:dlblFieldTable/>
              <c15:showDataLabelsRange val="0"/>
            </c:ext>
          </c:extLst>
        </c:dLbl>
      </c:pivotFmt>
      <c:pivotFmt>
        <c:idx val="4"/>
        <c:spPr>
          <a:solidFill>
            <a:schemeClr val="accent6">
              <a:tint val="86000"/>
            </a:schemeClr>
          </a:solidFill>
          <a:ln w="19050">
            <a:solidFill>
              <a:schemeClr val="lt1"/>
            </a:solidFill>
          </a:ln>
          <a:effectLst/>
        </c:spPr>
        <c:dLbl>
          <c:idx val="0"/>
          <c:layout>
            <c:manualLayout>
              <c:x val="-0.14782650182928533"/>
              <c:y val="0.209613282713727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1337F1-E247-415B-9F29-AB93BF42D0D5}" type="CATEGORYNAME">
                  <a:rPr lang="en-US" sz="800" b="1"/>
                  <a:pPr>
                    <a:defRPr/>
                  </a:pPr>
                  <a:t>[CATEGORY NAME]</a:t>
                </a:fld>
                <a:r>
                  <a:rPr lang="en-US" baseline="0"/>
                  <a:t>
</a:t>
                </a:r>
                <a:fld id="{5C35CFCB-4F4B-4192-B3A1-2AE8CF35F0F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687557601541626"/>
                  <c:h val="0.27358731405992143"/>
                </c:manualLayout>
              </c15:layout>
              <c15:dlblFieldTable/>
              <c15:showDataLabelsRange val="0"/>
            </c:ext>
          </c:extLst>
        </c:dLbl>
      </c:pivotFmt>
    </c:pivotFmts>
    <c:plotArea>
      <c:layout>
        <c:manualLayout>
          <c:layoutTarget val="inner"/>
          <c:xMode val="edge"/>
          <c:yMode val="edge"/>
          <c:x val="0.25121562030737477"/>
          <c:y val="0.21374671943984491"/>
          <c:w val="0.37631727269191767"/>
          <c:h val="0.55278227312336614"/>
        </c:manualLayout>
      </c:layout>
      <c:doughnutChart>
        <c:varyColors val="1"/>
        <c:ser>
          <c:idx val="0"/>
          <c:order val="0"/>
          <c:tx>
            <c:strRef>
              <c:f>'Pivote calculations'!$B$71</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2-6A6A-4C49-86BF-A58DF958F6EA}"/>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6A6A-4C49-86BF-A58DF958F6EA}"/>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4-6A6A-4C49-86BF-A58DF958F6EA}"/>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3-6A6A-4C49-86BF-A58DF958F6EA}"/>
              </c:ext>
            </c:extLst>
          </c:dPt>
          <c:dLbls>
            <c:dLbl>
              <c:idx val="0"/>
              <c:layout>
                <c:manualLayout>
                  <c:x val="0.23957906655247196"/>
                  <c:y val="0.148393790992491"/>
                </c:manualLayout>
              </c:layout>
              <c:tx>
                <c:rich>
                  <a:bodyPr/>
                  <a:lstStyle/>
                  <a:p>
                    <a:fld id="{EA8FD08E-F552-42DF-A32A-43A23F59C568}" type="CATEGORYNAME">
                      <a:rPr lang="en-US" sz="800" b="1"/>
                      <a:pPr/>
                      <a:t>[CATEGORY NAME]</a:t>
                    </a:fld>
                    <a:r>
                      <a:rPr lang="en-US" baseline="0"/>
                      <a:t>
</a:t>
                    </a:r>
                    <a:fld id="{ED003D34-A96E-4FCD-A419-83BB9C5FC673}"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2841866780120475"/>
                      <c:h val="0.38057947708335849"/>
                    </c:manualLayout>
                  </c15:layout>
                  <c15:dlblFieldTable/>
                  <c15:showDataLabelsRange val="0"/>
                </c:ext>
                <c:ext xmlns:c16="http://schemas.microsoft.com/office/drawing/2014/chart" uri="{C3380CC4-5D6E-409C-BE32-E72D297353CC}">
                  <c16:uniqueId val="{00000002-6A6A-4C49-86BF-A58DF958F6EA}"/>
                </c:ext>
              </c:extLst>
            </c:dLbl>
            <c:dLbl>
              <c:idx val="1"/>
              <c:layout>
                <c:manualLayout>
                  <c:x val="-0.14782650182928533"/>
                  <c:y val="0.20961328271372767"/>
                </c:manualLayout>
              </c:layout>
              <c:tx>
                <c:rich>
                  <a:bodyPr/>
                  <a:lstStyle/>
                  <a:p>
                    <a:fld id="{721337F1-E247-415B-9F29-AB93BF42D0D5}" type="CATEGORYNAME">
                      <a:rPr lang="en-US" sz="800" b="1"/>
                      <a:pPr/>
                      <a:t>[CATEGORY NAME]</a:t>
                    </a:fld>
                    <a:r>
                      <a:rPr lang="en-US" baseline="0"/>
                      <a:t>
</a:t>
                    </a:r>
                    <a:fld id="{5C35CFCB-4F4B-4192-B3A1-2AE8CF35F0F1}"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23687557601541626"/>
                      <c:h val="0.27358731405992143"/>
                    </c:manualLayout>
                  </c15:layout>
                  <c15:dlblFieldTable/>
                  <c15:showDataLabelsRange val="0"/>
                </c:ext>
                <c:ext xmlns:c16="http://schemas.microsoft.com/office/drawing/2014/chart" uri="{C3380CC4-5D6E-409C-BE32-E72D297353CC}">
                  <c16:uniqueId val="{00000005-6A6A-4C49-86BF-A58DF958F6EA}"/>
                </c:ext>
              </c:extLst>
            </c:dLbl>
            <c:dLbl>
              <c:idx val="2"/>
              <c:layout>
                <c:manualLayout>
                  <c:x val="-0.19857142358428212"/>
                  <c:y val="-0.10753868081523296"/>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D11CF0F-EFA3-4EB8-8BC6-8580A1A77480}" type="CATEGORYNAME">
                      <a:rPr lang="en-US" sz="800" b="1"/>
                      <a:pPr>
                        <a:defRPr/>
                      </a:pPr>
                      <a:t>[CATEGORY NAME]</a:t>
                    </a:fld>
                    <a:r>
                      <a:rPr lang="en-US" baseline="0"/>
                      <a:t>
</a:t>
                    </a:r>
                    <a:fld id="{7FC8BDBD-3C4B-4402-90BA-63D20888C0EA}"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094245431441363"/>
                      <c:h val="0.27358731405992143"/>
                    </c:manualLayout>
                  </c15:layout>
                  <c15:dlblFieldTable/>
                  <c15:showDataLabelsRange val="0"/>
                </c:ext>
                <c:ext xmlns:c16="http://schemas.microsoft.com/office/drawing/2014/chart" uri="{C3380CC4-5D6E-409C-BE32-E72D297353CC}">
                  <c16:uniqueId val="{00000004-6A6A-4C49-86BF-A58DF958F6EA}"/>
                </c:ext>
              </c:extLst>
            </c:dLbl>
            <c:dLbl>
              <c:idx val="3"/>
              <c:layout>
                <c:manualLayout>
                  <c:x val="0.40167508981630384"/>
                  <c:y val="-6.2483763971547014E-2"/>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85C495-58A9-4416-9849-31F711635EB3}" type="CATEGORYNAME">
                      <a:rPr lang="en-US" sz="800" b="1"/>
                      <a:pPr>
                        <a:defRPr/>
                      </a:pPr>
                      <a:t>[CATEGORY NAME]</a:t>
                    </a:fld>
                    <a:r>
                      <a:rPr lang="en-US" baseline="0"/>
                      <a:t>
</a:t>
                    </a:r>
                    <a:fld id="{BA048710-0E60-40A6-8F26-0C069CC0FD9D}"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38616266809376"/>
                      <c:h val="0.38057960515079453"/>
                    </c:manualLayout>
                  </c15:layout>
                  <c15:dlblFieldTable/>
                  <c15:showDataLabelsRange val="0"/>
                </c:ext>
                <c:ext xmlns:c16="http://schemas.microsoft.com/office/drawing/2014/chart" uri="{C3380CC4-5D6E-409C-BE32-E72D297353CC}">
                  <c16:uniqueId val="{00000003-6A6A-4C49-86BF-A58DF958F6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calculations'!$A$72:$A$76</c:f>
              <c:strCache>
                <c:ptCount val="4"/>
                <c:pt idx="0">
                  <c:v>Female</c:v>
                </c:pt>
                <c:pt idx="1">
                  <c:v>Male</c:v>
                </c:pt>
                <c:pt idx="2">
                  <c:v>Other</c:v>
                </c:pt>
                <c:pt idx="3">
                  <c:v>Unknown</c:v>
                </c:pt>
              </c:strCache>
            </c:strRef>
          </c:cat>
          <c:val>
            <c:numRef>
              <c:f>'Pivote calculations'!$B$72:$B$76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6A6A-4C49-86BF-A58DF958F6EA}"/>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 calculations!How long we take to ship the orders</c:name>
    <c:fmtId val="6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 calculations'!$B$144</c:f>
              <c:strCache>
                <c:ptCount val="1"/>
                <c:pt idx="0">
                  <c:v>Total</c:v>
                </c:pt>
              </c:strCache>
            </c:strRef>
          </c:tx>
          <c:spPr>
            <a:solidFill>
              <a:schemeClr val="accent1"/>
            </a:solidFill>
            <a:ln>
              <a:noFill/>
            </a:ln>
            <a:effectLst/>
          </c:spPr>
          <c:invertIfNegative val="0"/>
          <c:cat>
            <c:strRef>
              <c:f>'Pivote calculations'!$A$145:$A$160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'Pivote calculations'!$B$145:$B$160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753-4C9C-BA44-F3A034004FAB}"/>
            </c:ext>
          </c:extLst>
        </c:ser>
        <c:dLbls>
          <c:showLegendKey val="0"/>
          <c:showVal val="0"/>
          <c:showCatName val="0"/>
          <c:showSerName val="0"/>
          <c:showPercent val="0"/>
          <c:showBubbleSize val="0"/>
        </c:dLbls>
        <c:gapWidth val="150"/>
        <c:overlap val="100"/>
        <c:axId val="1881107760"/>
        <c:axId val="141376240"/>
      </c:barChart>
      <c:catAx>
        <c:axId val="188110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6240"/>
        <c:crosses val="autoZero"/>
        <c:auto val="1"/>
        <c:lblAlgn val="ctr"/>
        <c:lblOffset val="100"/>
        <c:noMultiLvlLbl val="0"/>
      </c:catAx>
      <c:valAx>
        <c:axId val="1413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[ecommerce-blank.xlsx]Pivote calculations!How happy are our customers?</c:name>
    <c:fmtId val="61"/>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calculations'!$B$163:$B$166</c:f>
              <c:strCache>
                <c:ptCount val="1"/>
                <c:pt idx="0">
                  <c:v>Jan</c:v>
                </c:pt>
              </c:strCache>
            </c:strRef>
          </c:tx>
          <c:spPr>
            <a:solidFill>
              <a:schemeClr val="accent4">
                <a:tint val="65000"/>
              </a:schemeClr>
            </a:solidFill>
            <a:ln>
              <a:noFill/>
            </a:ln>
            <a:effectLst/>
          </c:spPr>
          <c:invertIfNegative val="0"/>
          <c:cat>
            <c:strRef>
              <c:f>'Pivote calculations'!$A$167:$A$172</c:f>
              <c:strCache>
                <c:ptCount val="5"/>
                <c:pt idx="0">
                  <c:v>1</c:v>
                </c:pt>
                <c:pt idx="1">
                  <c:v>2</c:v>
                </c:pt>
                <c:pt idx="2">
                  <c:v>3</c:v>
                </c:pt>
                <c:pt idx="3">
                  <c:v>4</c:v>
                </c:pt>
                <c:pt idx="4">
                  <c:v>5</c:v>
                </c:pt>
              </c:strCache>
            </c:strRef>
          </c:cat>
          <c:val>
            <c:numRef>
              <c:f>'Pivote calculations'!$B$167:$B$172</c:f>
              <c:numCache>
                <c:formatCode>General</c:formatCode>
                <c:ptCount val="5"/>
                <c:pt idx="0">
                  <c:v>7</c:v>
                </c:pt>
                <c:pt idx="1">
                  <c:v>37</c:v>
                </c:pt>
                <c:pt idx="2">
                  <c:v>150</c:v>
                </c:pt>
                <c:pt idx="3">
                  <c:v>312</c:v>
                </c:pt>
                <c:pt idx="4">
                  <c:v>224</c:v>
                </c:pt>
              </c:numCache>
            </c:numRef>
          </c:val>
          <c:extLst>
            <c:ext xmlns:c16="http://schemas.microsoft.com/office/drawing/2014/chart" uri="{C3380CC4-5D6E-409C-BE32-E72D297353CC}">
              <c16:uniqueId val="{00000000-58D9-41FD-B40A-2BA632FA4462}"/>
            </c:ext>
          </c:extLst>
        </c:ser>
        <c:ser>
          <c:idx val="1"/>
          <c:order val="1"/>
          <c:tx>
            <c:strRef>
              <c:f>'Pivote calculations'!$C$163:$C$166</c:f>
              <c:strCache>
                <c:ptCount val="1"/>
                <c:pt idx="0">
                  <c:v>Feb</c:v>
                </c:pt>
              </c:strCache>
            </c:strRef>
          </c:tx>
          <c:spPr>
            <a:solidFill>
              <a:schemeClr val="accent4"/>
            </a:solidFill>
            <a:ln>
              <a:noFill/>
            </a:ln>
            <a:effectLst/>
          </c:spPr>
          <c:invertIfNegative val="0"/>
          <c:cat>
            <c:strRef>
              <c:f>'Pivote calculations'!$A$167:$A$172</c:f>
              <c:strCache>
                <c:ptCount val="5"/>
                <c:pt idx="0">
                  <c:v>1</c:v>
                </c:pt>
                <c:pt idx="1">
                  <c:v>2</c:v>
                </c:pt>
                <c:pt idx="2">
                  <c:v>3</c:v>
                </c:pt>
                <c:pt idx="3">
                  <c:v>4</c:v>
                </c:pt>
                <c:pt idx="4">
                  <c:v>5</c:v>
                </c:pt>
              </c:strCache>
            </c:strRef>
          </c:cat>
          <c:val>
            <c:numRef>
              <c:f>'Pivote calculations'!$C$167:$C$172</c:f>
              <c:numCache>
                <c:formatCode>General</c:formatCode>
                <c:ptCount val="5"/>
                <c:pt idx="0">
                  <c:v>8</c:v>
                </c:pt>
                <c:pt idx="1">
                  <c:v>51</c:v>
                </c:pt>
                <c:pt idx="2">
                  <c:v>182</c:v>
                </c:pt>
                <c:pt idx="3">
                  <c:v>373</c:v>
                </c:pt>
                <c:pt idx="4">
                  <c:v>247</c:v>
                </c:pt>
              </c:numCache>
            </c:numRef>
          </c:val>
          <c:extLst>
            <c:ext xmlns:c16="http://schemas.microsoft.com/office/drawing/2014/chart" uri="{C3380CC4-5D6E-409C-BE32-E72D297353CC}">
              <c16:uniqueId val="{00000002-58D9-41FD-B40A-2BA632FA4462}"/>
            </c:ext>
          </c:extLst>
        </c:ser>
        <c:ser>
          <c:idx val="2"/>
          <c:order val="2"/>
          <c:tx>
            <c:strRef>
              <c:f>'Pivote calculations'!$D$163:$D$166</c:f>
              <c:strCache>
                <c:ptCount val="1"/>
                <c:pt idx="0">
                  <c:v>Mar</c:v>
                </c:pt>
              </c:strCache>
            </c:strRef>
          </c:tx>
          <c:spPr>
            <a:solidFill>
              <a:schemeClr val="accent4">
                <a:shade val="65000"/>
              </a:schemeClr>
            </a:solidFill>
            <a:ln>
              <a:noFill/>
            </a:ln>
            <a:effectLst/>
          </c:spPr>
          <c:invertIfNegative val="0"/>
          <c:cat>
            <c:strRef>
              <c:f>'Pivote calculations'!$A$167:$A$172</c:f>
              <c:strCache>
                <c:ptCount val="5"/>
                <c:pt idx="0">
                  <c:v>1</c:v>
                </c:pt>
                <c:pt idx="1">
                  <c:v>2</c:v>
                </c:pt>
                <c:pt idx="2">
                  <c:v>3</c:v>
                </c:pt>
                <c:pt idx="3">
                  <c:v>4</c:v>
                </c:pt>
                <c:pt idx="4">
                  <c:v>5</c:v>
                </c:pt>
              </c:strCache>
            </c:strRef>
          </c:cat>
          <c:val>
            <c:numRef>
              <c:f>'Pivote calculations'!$D$167:$D$172</c:f>
              <c:numCache>
                <c:formatCode>General</c:formatCode>
                <c:ptCount val="5"/>
                <c:pt idx="0">
                  <c:v>6</c:v>
                </c:pt>
                <c:pt idx="1">
                  <c:v>39</c:v>
                </c:pt>
                <c:pt idx="2">
                  <c:v>163</c:v>
                </c:pt>
                <c:pt idx="3">
                  <c:v>351</c:v>
                </c:pt>
                <c:pt idx="4">
                  <c:v>250</c:v>
                </c:pt>
              </c:numCache>
            </c:numRef>
          </c:val>
          <c:extLst>
            <c:ext xmlns:c16="http://schemas.microsoft.com/office/drawing/2014/chart" uri="{C3380CC4-5D6E-409C-BE32-E72D297353CC}">
              <c16:uniqueId val="{00000003-58D9-41FD-B40A-2BA632FA4462}"/>
            </c:ext>
          </c:extLst>
        </c:ser>
        <c:dLbls>
          <c:showLegendKey val="0"/>
          <c:showVal val="0"/>
          <c:showCatName val="0"/>
          <c:showSerName val="0"/>
          <c:showPercent val="0"/>
          <c:showBubbleSize val="0"/>
        </c:dLbls>
        <c:gapWidth val="150"/>
        <c:axId val="1879926800"/>
        <c:axId val="141370000"/>
      </c:barChart>
      <c:catAx>
        <c:axId val="18799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0000"/>
        <c:crosses val="autoZero"/>
        <c:auto val="1"/>
        <c:lblAlgn val="ctr"/>
        <c:lblOffset val="100"/>
        <c:noMultiLvlLbl val="0"/>
      </c:catAx>
      <c:valAx>
        <c:axId val="14137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 calculations!How our customers like to buy</c:name>
    <c:fmtId val="20"/>
  </c:pivotSource>
  <c:chart>
    <c:autoTitleDeleted val="0"/>
    <c:pivotFmts>
      <c:pivotFmt>
        <c:idx val="0"/>
        <c:spPr>
          <a:solidFill>
            <a:schemeClr val="accent6"/>
          </a:solidFill>
          <a:ln w="28575" cap="rnd">
            <a:solidFill>
              <a:srgbClr val="FF000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260074534882"/>
          <c:y val="0.16199376947040497"/>
          <c:w val="0.5862540663080098"/>
          <c:h val="0.65530649790271545"/>
        </c:manualLayout>
      </c:layout>
      <c:lineChart>
        <c:grouping val="stacked"/>
        <c:varyColors val="0"/>
        <c:ser>
          <c:idx val="0"/>
          <c:order val="0"/>
          <c:tx>
            <c:strRef>
              <c:f>'Pivote calculations'!$B$7</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'Pivote calculations'!$A$8:$A$21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 calculations'!$B$8:$B$21</c:f>
              <c:numCache>
                <c:formatCode>0</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24C-4257-ADA3-C58CE0425271}"/>
            </c:ext>
          </c:extLst>
        </c:ser>
        <c:dLbls>
          <c:showLegendKey val="0"/>
          <c:showVal val="0"/>
          <c:showCatName val="0"/>
          <c:showSerName val="0"/>
          <c:showPercent val="0"/>
          <c:showBubbleSize val="0"/>
        </c:dLbls>
        <c:marker val="1"/>
        <c:smooth val="0"/>
        <c:axId val="1944451136"/>
        <c:axId val="1583716080"/>
      </c:lineChart>
      <c:lineChart>
        <c:grouping val="stacked"/>
        <c:varyColors val="0"/>
        <c:ser>
          <c:idx val="1"/>
          <c:order val="1"/>
          <c:tx>
            <c:strRef>
              <c:f>'Pivote calculations'!$C$7</c:f>
              <c:strCache>
                <c:ptCount val="1"/>
                <c:pt idx="0">
                  <c:v>Sum of Amount</c:v>
                </c:pt>
              </c:strCache>
            </c:strRef>
          </c:tx>
          <c:spPr>
            <a:ln w="28575" cap="rnd">
              <a:solidFill>
                <a:srgbClr val="FF0000"/>
              </a:solidFill>
              <a:round/>
            </a:ln>
            <a:effectLst/>
          </c:spPr>
          <c:marker>
            <c:symbol val="circle"/>
            <c:size val="5"/>
            <c:spPr>
              <a:solidFill>
                <a:schemeClr val="accent5"/>
              </a:solidFill>
              <a:ln w="9525">
                <a:solidFill>
                  <a:schemeClr val="accent5"/>
                </a:solidFill>
              </a:ln>
              <a:effectLst/>
            </c:spPr>
          </c:marker>
          <c:cat>
            <c:strRef>
              <c:f>'Pivote calculations'!$A$8:$A$21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 calculations'!$C$8:$C$21</c:f>
              <c:numCache>
                <c:formatCode>_-[$$-409]* #,##0.00_ ;_-[$$-409]* \-#,##0.00\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24C-4257-ADA3-C58CE0425271}"/>
            </c:ext>
          </c:extLst>
        </c:ser>
        <c:dLbls>
          <c:showLegendKey val="0"/>
          <c:showVal val="0"/>
          <c:showCatName val="0"/>
          <c:showSerName val="0"/>
          <c:showPercent val="0"/>
          <c:showBubbleSize val="0"/>
        </c:dLbls>
        <c:marker val="1"/>
        <c:smooth val="0"/>
        <c:axId val="1881091520"/>
        <c:axId val="1583669520"/>
      </c:lineChart>
      <c:catAx>
        <c:axId val="1944451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Trend in the last 13 weeks</a:t>
                </a:r>
              </a:p>
            </c:rich>
          </c:tx>
          <c:layout>
            <c:manualLayout>
              <c:xMode val="edge"/>
              <c:yMode val="edge"/>
              <c:x val="0.29125504695017257"/>
              <c:y val="2.675982562265553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16080"/>
        <c:crosses val="autoZero"/>
        <c:auto val="1"/>
        <c:lblAlgn val="ctr"/>
        <c:lblOffset val="100"/>
        <c:noMultiLvlLbl val="0"/>
      </c:catAx>
      <c:valAx>
        <c:axId val="15837160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451136"/>
        <c:crosses val="autoZero"/>
        <c:crossBetween val="between"/>
      </c:valAx>
      <c:valAx>
        <c:axId val="1583669520"/>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91520"/>
        <c:crosses val="max"/>
        <c:crossBetween val="between"/>
      </c:valAx>
      <c:catAx>
        <c:axId val="1881091520"/>
        <c:scaling>
          <c:orientation val="minMax"/>
        </c:scaling>
        <c:delete val="1"/>
        <c:axPos val="b"/>
        <c:numFmt formatCode="General" sourceLinked="1"/>
        <c:majorTickMark val="out"/>
        <c:minorTickMark val="none"/>
        <c:tickLblPos val="nextTo"/>
        <c:crossAx val="1583669520"/>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[ecommerce-blank.xlsx]Pivote calculations!Which products are popular?</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calculations'!$B$35</c:f>
              <c:strCache>
                <c:ptCount val="1"/>
                <c:pt idx="0">
                  <c:v>Total</c:v>
                </c:pt>
              </c:strCache>
            </c:strRef>
          </c:tx>
          <c:spPr>
            <a:solidFill>
              <a:schemeClr val="dk1">
                <a:tint val="88500"/>
              </a:schemeClr>
            </a:solidFill>
            <a:ln>
              <a:noFill/>
            </a:ln>
            <a:effectLst/>
          </c:spPr>
          <c:invertIfNegative val="0"/>
          <c:cat>
            <c:strRef>
              <c:f>'Pivote calculations'!$A$36:$A$43</c:f>
              <c:strCache>
                <c:ptCount val="7"/>
                <c:pt idx="0">
                  <c:v>1</c:v>
                </c:pt>
                <c:pt idx="1">
                  <c:v>2</c:v>
                </c:pt>
                <c:pt idx="2">
                  <c:v>3</c:v>
                </c:pt>
                <c:pt idx="3">
                  <c:v>4</c:v>
                </c:pt>
                <c:pt idx="4">
                  <c:v>5</c:v>
                </c:pt>
                <c:pt idx="5">
                  <c:v>6 to 10</c:v>
                </c:pt>
                <c:pt idx="6">
                  <c:v>11+</c:v>
                </c:pt>
              </c:strCache>
            </c:strRef>
          </c:cat>
          <c:val>
            <c:numRef>
              <c:f>'Pivote calculations'!$B$36:$B$43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EA0-4861-95FE-AC092ABF2FF6}"/>
            </c:ext>
          </c:extLst>
        </c:ser>
        <c:dLbls>
          <c:showLegendKey val="0"/>
          <c:showVal val="0"/>
          <c:showCatName val="0"/>
          <c:showSerName val="0"/>
          <c:showPercent val="0"/>
          <c:showBubbleSize val="0"/>
        </c:dLbls>
        <c:gapWidth val="219"/>
        <c:overlap val="-27"/>
        <c:axId val="2045785216"/>
        <c:axId val="1885841584"/>
      </c:barChart>
      <c:catAx>
        <c:axId val="204578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41584"/>
        <c:crosses val="autoZero"/>
        <c:auto val="1"/>
        <c:lblAlgn val="ctr"/>
        <c:lblOffset val="100"/>
        <c:noMultiLvlLbl val="0"/>
      </c:catAx>
      <c:valAx>
        <c:axId val="188584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[ecommerce-blank.xlsx]Pivote calculations!PivotTable6</c:name>
    <c:fmtId val="69"/>
  </c:pivotSource>
  <c:chart>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 calculations'!$B$45:$B$46</c:f>
              <c:strCache>
                <c:ptCount val="1"/>
                <c:pt idx="0">
                  <c:v>Female</c:v>
                </c:pt>
              </c:strCache>
            </c:strRef>
          </c:tx>
          <c:spPr>
            <a:solidFill>
              <a:schemeClr val="accent6">
                <a:tint val="58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calculations'!$B$47:$B$67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203-4B77-A6CD-74FB15D894C4}"/>
            </c:ext>
          </c:extLst>
        </c:ser>
        <c:ser>
          <c:idx val="1"/>
          <c:order val="1"/>
          <c:tx>
            <c:strRef>
              <c:f>'Pivote calculations'!$C$45:$C$46</c:f>
              <c:strCache>
                <c:ptCount val="1"/>
                <c:pt idx="0">
                  <c:v>Male</c:v>
                </c:pt>
              </c:strCache>
            </c:strRef>
          </c:tx>
          <c:spPr>
            <a:solidFill>
              <a:schemeClr val="accent6">
                <a:tint val="86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calculations'!$C$47:$C$67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2-1203-4B77-A6CD-74FB15D894C4}"/>
            </c:ext>
          </c:extLst>
        </c:ser>
        <c:ser>
          <c:idx val="2"/>
          <c:order val="2"/>
          <c:tx>
            <c:strRef>
              <c:f>'Pivote calculations'!$D$45:$D$46</c:f>
              <c:strCache>
                <c:ptCount val="1"/>
                <c:pt idx="0">
                  <c:v>Other</c:v>
                </c:pt>
              </c:strCache>
            </c:strRef>
          </c:tx>
          <c:spPr>
            <a:solidFill>
              <a:schemeClr val="accent6">
                <a:shade val="86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calculations'!$D$47:$D$67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3-1203-4B77-A6CD-74FB15D894C4}"/>
            </c:ext>
          </c:extLst>
        </c:ser>
        <c:ser>
          <c:idx val="3"/>
          <c:order val="3"/>
          <c:tx>
            <c:strRef>
              <c:f>'Pivote calculations'!$E$45:$E$46</c:f>
              <c:strCache>
                <c:ptCount val="1"/>
                <c:pt idx="0">
                  <c:v>Unknown</c:v>
                </c:pt>
              </c:strCache>
            </c:strRef>
          </c:tx>
          <c:spPr>
            <a:solidFill>
              <a:schemeClr val="accent6">
                <a:shade val="58000"/>
              </a:schemeClr>
            </a:solidFill>
            <a:ln>
              <a:noFill/>
            </a:ln>
            <a:effectLst/>
          </c:spPr>
          <c:invertIfNegative val="0"/>
          <c:cat>
            <c:strRef>
              <c:f>'Pivote calculations'!$A$47:$A$67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 calculations'!$E$47:$E$67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4-1203-4B77-A6CD-74FB15D894C4}"/>
            </c:ext>
          </c:extLst>
        </c:ser>
        <c:dLbls>
          <c:showLegendKey val="0"/>
          <c:showVal val="0"/>
          <c:showCatName val="0"/>
          <c:showSerName val="0"/>
          <c:showPercent val="0"/>
          <c:showBubbleSize val="0"/>
        </c:dLbls>
        <c:gapWidth val="182"/>
        <c:overlap val="100"/>
        <c:axId val="2043118880"/>
        <c:axId val="1885856464"/>
      </c:barChart>
      <c:catAx>
        <c:axId val="2043118880"/>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56464"/>
        <c:crosses val="autoZero"/>
        <c:auto val="1"/>
        <c:lblAlgn val="ctr"/>
        <c:lblOffset val="100"/>
        <c:noMultiLvlLbl val="0"/>
      </c:catAx>
      <c:valAx>
        <c:axId val="188585646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Which products are popular? &amp; Overall gender split</a:t>
                </a:r>
              </a:p>
            </c:rich>
          </c:tx>
          <c:layout>
            <c:manualLayout>
              <c:xMode val="edge"/>
              <c:yMode val="edge"/>
              <c:x val="0.14162920544022906"/>
              <c:y val="3.97686189443239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1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[ecommerce-blank.xlsx]Pivote calculations!PivotTable7</c:name>
    <c:fmtId val="83"/>
  </c:pivotSource>
  <c:chart>
    <c:autoTitleDeleted val="1"/>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w="19050">
            <a:solidFill>
              <a:schemeClr val="lt1"/>
            </a:solidFill>
          </a:ln>
          <a:effectLst/>
        </c:spPr>
        <c:dLbl>
          <c:idx val="0"/>
          <c:layout>
            <c:manualLayout>
              <c:x val="0.23957906655247196"/>
              <c:y val="0.1483937909924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8FD08E-F552-42DF-A32A-43A23F59C568}"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ED003D34-A96E-4FCD-A419-83BB9C5FC67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41866780120475"/>
                  <c:h val="0.38057947708335849"/>
                </c:manualLayout>
              </c15:layout>
              <c15:dlblFieldTable/>
              <c15:showDataLabelsRange val="0"/>
            </c:ext>
          </c:extLst>
        </c:dLbl>
      </c:pivotFmt>
      <c:pivotFmt>
        <c:idx val="2"/>
        <c:spPr>
          <a:solidFill>
            <a:schemeClr val="accent6">
              <a:shade val="58000"/>
            </a:schemeClr>
          </a:solidFill>
          <a:ln w="19050">
            <a:solidFill>
              <a:schemeClr val="lt1"/>
            </a:solidFill>
          </a:ln>
          <a:effectLst/>
        </c:spPr>
        <c:dLbl>
          <c:idx val="0"/>
          <c:layout>
            <c:manualLayout>
              <c:x val="0.40167508981630384"/>
              <c:y val="-6.2483763971547014E-2"/>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85C495-58A9-4416-9849-31F711635EB3}"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A048710-0E60-40A6-8F26-0C069CC0FD9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38616266809376"/>
                  <c:h val="0.38057960515079453"/>
                </c:manualLayout>
              </c15:layout>
              <c15:dlblFieldTable/>
              <c15:showDataLabelsRange val="0"/>
            </c:ext>
          </c:extLst>
        </c:dLbl>
      </c:pivotFmt>
      <c:pivotFmt>
        <c:idx val="3"/>
        <c:spPr>
          <a:solidFill>
            <a:schemeClr val="accent6">
              <a:shade val="86000"/>
            </a:schemeClr>
          </a:solidFill>
          <a:ln w="19050">
            <a:solidFill>
              <a:schemeClr val="lt1"/>
            </a:solidFill>
          </a:ln>
          <a:effectLst/>
        </c:spPr>
        <c:dLbl>
          <c:idx val="0"/>
          <c:layout>
            <c:manualLayout>
              <c:x val="-0.19857142358428212"/>
              <c:y val="-0.10753868081523296"/>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D11CF0F-EFA3-4EB8-8BC6-8580A1A77480}"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FC8BDBD-3C4B-4402-90BA-63D20888C0EA}"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094245431441363"/>
                  <c:h val="0.27358731405992143"/>
                </c:manualLayout>
              </c15:layout>
              <c15:dlblFieldTable/>
              <c15:showDataLabelsRange val="0"/>
            </c:ext>
          </c:extLst>
        </c:dLbl>
      </c:pivotFmt>
      <c:pivotFmt>
        <c:idx val="4"/>
        <c:spPr>
          <a:solidFill>
            <a:schemeClr val="accent6">
              <a:tint val="86000"/>
            </a:schemeClr>
          </a:solidFill>
          <a:ln w="19050">
            <a:solidFill>
              <a:schemeClr val="lt1"/>
            </a:solidFill>
          </a:ln>
          <a:effectLst/>
        </c:spPr>
        <c:dLbl>
          <c:idx val="0"/>
          <c:layout>
            <c:manualLayout>
              <c:x val="-0.14782650182928533"/>
              <c:y val="0.209613282713727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1337F1-E247-415B-9F29-AB93BF42D0D5}"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5C35CFCB-4F4B-4192-B3A1-2AE8CF35F0F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687557601541626"/>
                  <c:h val="0.27358731405992143"/>
                </c:manualLayout>
              </c15:layout>
              <c15:dlblFieldTable/>
              <c15:showDataLabelsRange val="0"/>
            </c:ext>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tint val="58000"/>
            </a:schemeClr>
          </a:solidFill>
          <a:ln w="19050">
            <a:solidFill>
              <a:schemeClr val="lt1"/>
            </a:solidFill>
          </a:ln>
          <a:effectLst/>
        </c:spPr>
        <c:dLbl>
          <c:idx val="0"/>
          <c:layout>
            <c:manualLayout>
              <c:x val="0.23957906655247196"/>
              <c:y val="0.1483937909924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8FD08E-F552-42DF-A32A-43A23F59C568}"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ED003D34-A96E-4FCD-A419-83BB9C5FC67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41866780120475"/>
                  <c:h val="0.38057947708335849"/>
                </c:manualLayout>
              </c15:layout>
              <c15:dlblFieldTable/>
              <c15:showDataLabelsRange val="0"/>
            </c:ext>
          </c:extLst>
        </c:dLbl>
      </c:pivotFmt>
      <c:pivotFmt>
        <c:idx val="7"/>
        <c:spPr>
          <a:solidFill>
            <a:schemeClr val="accent6">
              <a:tint val="86000"/>
            </a:schemeClr>
          </a:solidFill>
          <a:ln w="19050">
            <a:solidFill>
              <a:schemeClr val="lt1"/>
            </a:solidFill>
          </a:ln>
          <a:effectLst/>
        </c:spPr>
        <c:dLbl>
          <c:idx val="0"/>
          <c:layout>
            <c:manualLayout>
              <c:x val="-0.14782650182928533"/>
              <c:y val="0.209613282713727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1337F1-E247-415B-9F29-AB93BF42D0D5}"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5C35CFCB-4F4B-4192-B3A1-2AE8CF35F0F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687557601541626"/>
                  <c:h val="0.27358731405992143"/>
                </c:manualLayout>
              </c15:layout>
              <c15:dlblFieldTable/>
              <c15:showDataLabelsRange val="0"/>
            </c:ext>
          </c:extLst>
        </c:dLbl>
      </c:pivotFmt>
      <c:pivotFmt>
        <c:idx val="8"/>
        <c:spPr>
          <a:solidFill>
            <a:schemeClr val="accent6">
              <a:shade val="86000"/>
            </a:schemeClr>
          </a:solidFill>
          <a:ln w="19050">
            <a:solidFill>
              <a:schemeClr val="lt1"/>
            </a:solidFill>
          </a:ln>
          <a:effectLst/>
        </c:spPr>
        <c:dLbl>
          <c:idx val="0"/>
          <c:layout>
            <c:manualLayout>
              <c:x val="-0.19857142358428212"/>
              <c:y val="-0.10753868081523296"/>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D11CF0F-EFA3-4EB8-8BC6-8580A1A77480}"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FC8BDBD-3C4B-4402-90BA-63D20888C0EA}"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094245431441363"/>
                  <c:h val="0.27358731405992143"/>
                </c:manualLayout>
              </c15:layout>
              <c15:dlblFieldTable/>
              <c15:showDataLabelsRange val="0"/>
            </c:ext>
          </c:extLst>
        </c:dLbl>
      </c:pivotFmt>
      <c:pivotFmt>
        <c:idx val="9"/>
        <c:spPr>
          <a:solidFill>
            <a:schemeClr val="accent6">
              <a:shade val="58000"/>
            </a:schemeClr>
          </a:solidFill>
          <a:ln w="19050">
            <a:solidFill>
              <a:schemeClr val="lt1"/>
            </a:solidFill>
          </a:ln>
          <a:effectLst/>
        </c:spPr>
        <c:dLbl>
          <c:idx val="0"/>
          <c:layout>
            <c:manualLayout>
              <c:x val="0.40167508981630384"/>
              <c:y val="-6.2483763971547014E-2"/>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85C495-58A9-4416-9849-31F711635EB3}" type="CATEGORYNAME">
                  <a:rPr lang="en-US" sz="8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BA048710-0E60-40A6-8F26-0C069CC0FD9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38616266809376"/>
                  <c:h val="0.38057960515079453"/>
                </c:manualLayout>
              </c15:layout>
              <c15:dlblFieldTable/>
              <c15:showDataLabelsRange val="0"/>
            </c:ext>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tint val="58000"/>
            </a:schemeClr>
          </a:solidFill>
          <a:ln w="19050">
            <a:solidFill>
              <a:schemeClr val="lt1"/>
            </a:solidFill>
          </a:ln>
          <a:effectLst/>
        </c:spPr>
        <c:dLbl>
          <c:idx val="0"/>
          <c:layout>
            <c:manualLayout>
              <c:x val="0.23957906655247196"/>
              <c:y val="0.1483937909924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8FD08E-F552-42DF-A32A-43A23F59C568}" type="CATEGORYNAME">
                  <a:rPr lang="en-US" sz="800" b="1"/>
                  <a:pPr>
                    <a:defRPr/>
                  </a:pPr>
                  <a:t>[CATEGORY NAME]</a:t>
                </a:fld>
                <a:r>
                  <a:rPr lang="en-US" baseline="0"/>
                  <a:t>
</a:t>
                </a:r>
                <a:fld id="{ED003D34-A96E-4FCD-A419-83BB9C5FC673}"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41866780120475"/>
                  <c:h val="0.38057947708335849"/>
                </c:manualLayout>
              </c15:layout>
              <c15:dlblFieldTable/>
              <c15:showDataLabelsRange val="0"/>
            </c:ext>
          </c:extLst>
        </c:dLbl>
      </c:pivotFmt>
      <c:pivotFmt>
        <c:idx val="12"/>
        <c:spPr>
          <a:solidFill>
            <a:schemeClr val="accent6">
              <a:tint val="86000"/>
            </a:schemeClr>
          </a:solidFill>
          <a:ln w="19050">
            <a:solidFill>
              <a:schemeClr val="lt1"/>
            </a:solidFill>
          </a:ln>
          <a:effectLst/>
        </c:spPr>
        <c:dLbl>
          <c:idx val="0"/>
          <c:layout>
            <c:manualLayout>
              <c:x val="-0.14782650182928533"/>
              <c:y val="0.209613282713727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1337F1-E247-415B-9F29-AB93BF42D0D5}" type="CATEGORYNAME">
                  <a:rPr lang="en-US" sz="800" b="1"/>
                  <a:pPr>
                    <a:defRPr/>
                  </a:pPr>
                  <a:t>[CATEGORY NAME]</a:t>
                </a:fld>
                <a:r>
                  <a:rPr lang="en-US" baseline="0"/>
                  <a:t>
</a:t>
                </a:r>
                <a:fld id="{5C35CFCB-4F4B-4192-B3A1-2AE8CF35F0F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687557601541626"/>
                  <c:h val="0.27358731405992143"/>
                </c:manualLayout>
              </c15:layout>
              <c15:dlblFieldTable/>
              <c15:showDataLabelsRange val="0"/>
            </c:ext>
          </c:extLst>
        </c:dLbl>
      </c:pivotFmt>
      <c:pivotFmt>
        <c:idx val="13"/>
        <c:spPr>
          <a:solidFill>
            <a:schemeClr val="accent6">
              <a:shade val="86000"/>
            </a:schemeClr>
          </a:solidFill>
          <a:ln w="19050">
            <a:solidFill>
              <a:schemeClr val="lt1"/>
            </a:solidFill>
          </a:ln>
          <a:effectLst/>
        </c:spPr>
        <c:dLbl>
          <c:idx val="0"/>
          <c:layout>
            <c:manualLayout>
              <c:x val="-0.19857142358428212"/>
              <c:y val="-0.10753868081523296"/>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D11CF0F-EFA3-4EB8-8BC6-8580A1A77480}" type="CATEGORYNAME">
                  <a:rPr lang="en-US" sz="800" b="1"/>
                  <a:pPr>
                    <a:defRPr/>
                  </a:pPr>
                  <a:t>[CATEGORY NAME]</a:t>
                </a:fld>
                <a:r>
                  <a:rPr lang="en-US" baseline="0"/>
                  <a:t>
</a:t>
                </a:r>
                <a:fld id="{7FC8BDBD-3C4B-4402-90BA-63D20888C0EA}"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094245431441363"/>
                  <c:h val="0.27358731405992143"/>
                </c:manualLayout>
              </c15:layout>
              <c15:dlblFieldTable/>
              <c15:showDataLabelsRange val="0"/>
            </c:ext>
          </c:extLst>
        </c:dLbl>
      </c:pivotFmt>
      <c:pivotFmt>
        <c:idx val="14"/>
        <c:spPr>
          <a:solidFill>
            <a:schemeClr val="accent6">
              <a:shade val="58000"/>
            </a:schemeClr>
          </a:solidFill>
          <a:ln w="19050">
            <a:solidFill>
              <a:schemeClr val="lt1"/>
            </a:solidFill>
          </a:ln>
          <a:effectLst/>
        </c:spPr>
        <c:dLbl>
          <c:idx val="0"/>
          <c:layout>
            <c:manualLayout>
              <c:x val="0.40167508981630384"/>
              <c:y val="-6.2483763971547014E-2"/>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85C495-58A9-4416-9849-31F711635EB3}" type="CATEGORYNAME">
                  <a:rPr lang="en-US" sz="800" b="1"/>
                  <a:pPr>
                    <a:defRPr/>
                  </a:pPr>
                  <a:t>[CATEGORY NAME]</a:t>
                </a:fld>
                <a:r>
                  <a:rPr lang="en-US" baseline="0"/>
                  <a:t>
</a:t>
                </a:r>
                <a:fld id="{BA048710-0E60-40A6-8F26-0C069CC0FD9D}"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38616266809376"/>
                  <c:h val="0.38057960515079453"/>
                </c:manualLayout>
              </c15:layout>
              <c15:dlblFieldTable/>
              <c15:showDataLabelsRange val="0"/>
            </c:ext>
          </c:extLst>
        </c:dLbl>
      </c:pivotFmt>
    </c:pivotFmts>
    <c:plotArea>
      <c:layout>
        <c:manualLayout>
          <c:layoutTarget val="inner"/>
          <c:xMode val="edge"/>
          <c:yMode val="edge"/>
          <c:x val="0.25121562030737477"/>
          <c:y val="0.21374671943984491"/>
          <c:w val="0.37631727269191767"/>
          <c:h val="0.55278227312336614"/>
        </c:manualLayout>
      </c:layout>
      <c:doughnutChart>
        <c:varyColors val="1"/>
        <c:ser>
          <c:idx val="0"/>
          <c:order val="0"/>
          <c:tx>
            <c:strRef>
              <c:f>'Pivote calculations'!$B$71</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3391-4D50-A385-C89C9DC5D8DF}"/>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3391-4D50-A385-C89C9DC5D8DF}"/>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3391-4D50-A385-C89C9DC5D8DF}"/>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3391-4D50-A385-C89C9DC5D8DF}"/>
              </c:ext>
            </c:extLst>
          </c:dPt>
          <c:dLbls>
            <c:dLbl>
              <c:idx val="0"/>
              <c:layout>
                <c:manualLayout>
                  <c:x val="0.23957906655247196"/>
                  <c:y val="0.148393790992491"/>
                </c:manualLayout>
              </c:layout>
              <c:tx>
                <c:rich>
                  <a:bodyPr/>
                  <a:lstStyle/>
                  <a:p>
                    <a:fld id="{EA8FD08E-F552-42DF-A32A-43A23F59C568}" type="CATEGORYNAME">
                      <a:rPr lang="en-US" sz="800" b="1"/>
                      <a:pPr/>
                      <a:t>[CATEGORY NAME]</a:t>
                    </a:fld>
                    <a:r>
                      <a:rPr lang="en-US" baseline="0"/>
                      <a:t>
</a:t>
                    </a:r>
                    <a:fld id="{ED003D34-A96E-4FCD-A419-83BB9C5FC673}"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2841866780120475"/>
                      <c:h val="0.38057947708335849"/>
                    </c:manualLayout>
                  </c15:layout>
                  <c15:dlblFieldTable/>
                  <c15:showDataLabelsRange val="0"/>
                </c:ext>
                <c:ext xmlns:c16="http://schemas.microsoft.com/office/drawing/2014/chart" uri="{C3380CC4-5D6E-409C-BE32-E72D297353CC}">
                  <c16:uniqueId val="{00000001-3391-4D50-A385-C89C9DC5D8DF}"/>
                </c:ext>
              </c:extLst>
            </c:dLbl>
            <c:dLbl>
              <c:idx val="1"/>
              <c:layout>
                <c:manualLayout>
                  <c:x val="-0.14782650182928533"/>
                  <c:y val="0.20961328271372767"/>
                </c:manualLayout>
              </c:layout>
              <c:tx>
                <c:rich>
                  <a:bodyPr/>
                  <a:lstStyle/>
                  <a:p>
                    <a:fld id="{721337F1-E247-415B-9F29-AB93BF42D0D5}" type="CATEGORYNAME">
                      <a:rPr lang="en-US" sz="800" b="1"/>
                      <a:pPr/>
                      <a:t>[CATEGORY NAME]</a:t>
                    </a:fld>
                    <a:r>
                      <a:rPr lang="en-US" baseline="0"/>
                      <a:t>
</a:t>
                    </a:r>
                    <a:fld id="{5C35CFCB-4F4B-4192-B3A1-2AE8CF35F0F1}"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layout>
                    <c:manualLayout>
                      <c:w val="0.23687557601541626"/>
                      <c:h val="0.27358731405992143"/>
                    </c:manualLayout>
                  </c15:layout>
                  <c15:dlblFieldTable/>
                  <c15:showDataLabelsRange val="0"/>
                </c:ext>
                <c:ext xmlns:c16="http://schemas.microsoft.com/office/drawing/2014/chart" uri="{C3380CC4-5D6E-409C-BE32-E72D297353CC}">
                  <c16:uniqueId val="{00000003-3391-4D50-A385-C89C9DC5D8DF}"/>
                </c:ext>
              </c:extLst>
            </c:dLbl>
            <c:dLbl>
              <c:idx val="2"/>
              <c:layout>
                <c:manualLayout>
                  <c:x val="-0.19857142358428212"/>
                  <c:y val="-0.10753868081523296"/>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D11CF0F-EFA3-4EB8-8BC6-8580A1A77480}" type="CATEGORYNAME">
                      <a:rPr lang="en-US" sz="800" b="1"/>
                      <a:pPr>
                        <a:defRPr/>
                      </a:pPr>
                      <a:t>[CATEGORY NAME]</a:t>
                    </a:fld>
                    <a:r>
                      <a:rPr lang="en-US" baseline="0"/>
                      <a:t>
</a:t>
                    </a:r>
                    <a:fld id="{7FC8BDBD-3C4B-4402-90BA-63D20888C0EA}"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094245431441363"/>
                      <c:h val="0.27358731405992143"/>
                    </c:manualLayout>
                  </c15:layout>
                  <c15:dlblFieldTable/>
                  <c15:showDataLabelsRange val="0"/>
                </c:ext>
                <c:ext xmlns:c16="http://schemas.microsoft.com/office/drawing/2014/chart" uri="{C3380CC4-5D6E-409C-BE32-E72D297353CC}">
                  <c16:uniqueId val="{00000005-3391-4D50-A385-C89C9DC5D8DF}"/>
                </c:ext>
              </c:extLst>
            </c:dLbl>
            <c:dLbl>
              <c:idx val="3"/>
              <c:layout>
                <c:manualLayout>
                  <c:x val="0.40167508981630384"/>
                  <c:y val="-6.2483763971547014E-2"/>
                </c:manualLayout>
              </c:layout>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85C495-58A9-4416-9849-31F711635EB3}" type="CATEGORYNAME">
                      <a:rPr lang="en-US" sz="800" b="1"/>
                      <a:pPr>
                        <a:defRPr/>
                      </a:pPr>
                      <a:t>[CATEGORY NAME]</a:t>
                    </a:fld>
                    <a:r>
                      <a:rPr lang="en-US" baseline="0"/>
                      <a:t>
</a:t>
                    </a:r>
                    <a:fld id="{BA048710-0E60-40A6-8F26-0C069CC0FD9D}" type="PERCENTAGE">
                      <a:rPr lang="en-US" baseline="0"/>
                      <a:pPr>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138616266809376"/>
                      <c:h val="0.38057960515079453"/>
                    </c:manualLayout>
                  </c15:layout>
                  <c15:dlblFieldTable/>
                  <c15:showDataLabelsRange val="0"/>
                </c:ext>
                <c:ext xmlns:c16="http://schemas.microsoft.com/office/drawing/2014/chart" uri="{C3380CC4-5D6E-409C-BE32-E72D297353CC}">
                  <c16:uniqueId val="{00000007-3391-4D50-A385-C89C9DC5D8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calculations'!$A$72:$A$76</c:f>
              <c:strCache>
                <c:ptCount val="4"/>
                <c:pt idx="0">
                  <c:v>Female</c:v>
                </c:pt>
                <c:pt idx="1">
                  <c:v>Male</c:v>
                </c:pt>
                <c:pt idx="2">
                  <c:v>Other</c:v>
                </c:pt>
                <c:pt idx="3">
                  <c:v>Unknown</c:v>
                </c:pt>
              </c:strCache>
            </c:strRef>
          </c:cat>
          <c:val>
            <c:numRef>
              <c:f>'Pivote calculations'!$B$72:$B$76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391-4D50-A385-C89C9DC5D8DF}"/>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[ecommerce-blank.xlsx]Pivote calculations!How long we take to ship the orders</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 calculations'!$B$144</c:f>
              <c:strCache>
                <c:ptCount val="1"/>
                <c:pt idx="0">
                  <c:v>Total</c:v>
                </c:pt>
              </c:strCache>
            </c:strRef>
          </c:tx>
          <c:spPr>
            <a:solidFill>
              <a:schemeClr val="accent5"/>
            </a:solidFill>
            <a:ln>
              <a:noFill/>
            </a:ln>
            <a:effectLst/>
          </c:spPr>
          <c:invertIfNegative val="0"/>
          <c:cat>
            <c:strRef>
              <c:f>'Pivote calculations'!$A$145:$A$160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'Pivote calculations'!$B$145:$B$160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221-472E-B4AC-E3BA658C2D7E}"/>
            </c:ext>
          </c:extLst>
        </c:ser>
        <c:dLbls>
          <c:showLegendKey val="0"/>
          <c:showVal val="0"/>
          <c:showCatName val="0"/>
          <c:showSerName val="0"/>
          <c:showPercent val="0"/>
          <c:showBubbleSize val="0"/>
        </c:dLbls>
        <c:gapWidth val="150"/>
        <c:overlap val="100"/>
        <c:axId val="1881107760"/>
        <c:axId val="141376240"/>
      </c:barChart>
      <c:catAx>
        <c:axId val="188110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6240"/>
        <c:crosses val="autoZero"/>
        <c:auto val="1"/>
        <c:lblAlgn val="ctr"/>
        <c:lblOffset val="100"/>
        <c:noMultiLvlLbl val="0"/>
      </c:catAx>
      <c:valAx>
        <c:axId val="1413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[ecommerce-blank.xlsx]Pivote calculations!How happy are our customers?</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calculations'!$B$163:$B$166</c:f>
              <c:strCache>
                <c:ptCount val="1"/>
                <c:pt idx="0">
                  <c:v>Jan</c:v>
                </c:pt>
              </c:strCache>
            </c:strRef>
          </c:tx>
          <c:spPr>
            <a:solidFill>
              <a:schemeClr val="accent4">
                <a:tint val="65000"/>
              </a:schemeClr>
            </a:solidFill>
            <a:ln>
              <a:noFill/>
            </a:ln>
            <a:effectLst/>
          </c:spPr>
          <c:invertIfNegative val="0"/>
          <c:cat>
            <c:strRef>
              <c:f>'Pivote calculations'!$A$167:$A$172</c:f>
              <c:strCache>
                <c:ptCount val="5"/>
                <c:pt idx="0">
                  <c:v>1</c:v>
                </c:pt>
                <c:pt idx="1">
                  <c:v>2</c:v>
                </c:pt>
                <c:pt idx="2">
                  <c:v>3</c:v>
                </c:pt>
                <c:pt idx="3">
                  <c:v>4</c:v>
                </c:pt>
                <c:pt idx="4">
                  <c:v>5</c:v>
                </c:pt>
              </c:strCache>
            </c:strRef>
          </c:cat>
          <c:val>
            <c:numRef>
              <c:f>'Pivote calculations'!$B$167:$B$172</c:f>
              <c:numCache>
                <c:formatCode>General</c:formatCode>
                <c:ptCount val="5"/>
                <c:pt idx="0">
                  <c:v>7</c:v>
                </c:pt>
                <c:pt idx="1">
                  <c:v>37</c:v>
                </c:pt>
                <c:pt idx="2">
                  <c:v>150</c:v>
                </c:pt>
                <c:pt idx="3">
                  <c:v>312</c:v>
                </c:pt>
                <c:pt idx="4">
                  <c:v>224</c:v>
                </c:pt>
              </c:numCache>
            </c:numRef>
          </c:val>
          <c:extLst>
            <c:ext xmlns:c16="http://schemas.microsoft.com/office/drawing/2014/chart" uri="{C3380CC4-5D6E-409C-BE32-E72D297353CC}">
              <c16:uniqueId val="{00000000-A1DE-4330-BCFF-1CFB4859250F}"/>
            </c:ext>
          </c:extLst>
        </c:ser>
        <c:ser>
          <c:idx val="1"/>
          <c:order val="1"/>
          <c:tx>
            <c:strRef>
              <c:f>'Pivote calculations'!$C$163:$C$166</c:f>
              <c:strCache>
                <c:ptCount val="1"/>
                <c:pt idx="0">
                  <c:v>Feb</c:v>
                </c:pt>
              </c:strCache>
            </c:strRef>
          </c:tx>
          <c:spPr>
            <a:solidFill>
              <a:schemeClr val="accent4"/>
            </a:solidFill>
            <a:ln>
              <a:noFill/>
            </a:ln>
            <a:effectLst/>
          </c:spPr>
          <c:invertIfNegative val="0"/>
          <c:cat>
            <c:strRef>
              <c:f>'Pivote calculations'!$A$167:$A$172</c:f>
              <c:strCache>
                <c:ptCount val="5"/>
                <c:pt idx="0">
                  <c:v>1</c:v>
                </c:pt>
                <c:pt idx="1">
                  <c:v>2</c:v>
                </c:pt>
                <c:pt idx="2">
                  <c:v>3</c:v>
                </c:pt>
                <c:pt idx="3">
                  <c:v>4</c:v>
                </c:pt>
                <c:pt idx="4">
                  <c:v>5</c:v>
                </c:pt>
              </c:strCache>
            </c:strRef>
          </c:cat>
          <c:val>
            <c:numRef>
              <c:f>'Pivote calculations'!$C$167:$C$172</c:f>
              <c:numCache>
                <c:formatCode>General</c:formatCode>
                <c:ptCount val="5"/>
                <c:pt idx="0">
                  <c:v>8</c:v>
                </c:pt>
                <c:pt idx="1">
                  <c:v>51</c:v>
                </c:pt>
                <c:pt idx="2">
                  <c:v>182</c:v>
                </c:pt>
                <c:pt idx="3">
                  <c:v>373</c:v>
                </c:pt>
                <c:pt idx="4">
                  <c:v>247</c:v>
                </c:pt>
              </c:numCache>
            </c:numRef>
          </c:val>
          <c:extLst>
            <c:ext xmlns:c16="http://schemas.microsoft.com/office/drawing/2014/chart" uri="{C3380CC4-5D6E-409C-BE32-E72D297353CC}">
              <c16:uniqueId val="{00000001-A1DE-4330-BCFF-1CFB4859250F}"/>
            </c:ext>
          </c:extLst>
        </c:ser>
        <c:ser>
          <c:idx val="2"/>
          <c:order val="2"/>
          <c:tx>
            <c:strRef>
              <c:f>'Pivote calculations'!$D$163:$D$166</c:f>
              <c:strCache>
                <c:ptCount val="1"/>
                <c:pt idx="0">
                  <c:v>Mar</c:v>
                </c:pt>
              </c:strCache>
            </c:strRef>
          </c:tx>
          <c:spPr>
            <a:solidFill>
              <a:schemeClr val="accent4">
                <a:shade val="65000"/>
              </a:schemeClr>
            </a:solidFill>
            <a:ln>
              <a:noFill/>
            </a:ln>
            <a:effectLst/>
          </c:spPr>
          <c:invertIfNegative val="0"/>
          <c:cat>
            <c:strRef>
              <c:f>'Pivote calculations'!$A$167:$A$172</c:f>
              <c:strCache>
                <c:ptCount val="5"/>
                <c:pt idx="0">
                  <c:v>1</c:v>
                </c:pt>
                <c:pt idx="1">
                  <c:v>2</c:v>
                </c:pt>
                <c:pt idx="2">
                  <c:v>3</c:v>
                </c:pt>
                <c:pt idx="3">
                  <c:v>4</c:v>
                </c:pt>
                <c:pt idx="4">
                  <c:v>5</c:v>
                </c:pt>
              </c:strCache>
            </c:strRef>
          </c:cat>
          <c:val>
            <c:numRef>
              <c:f>'Pivote calculations'!$D$167:$D$172</c:f>
              <c:numCache>
                <c:formatCode>General</c:formatCode>
                <c:ptCount val="5"/>
                <c:pt idx="0">
                  <c:v>6</c:v>
                </c:pt>
                <c:pt idx="1">
                  <c:v>39</c:v>
                </c:pt>
                <c:pt idx="2">
                  <c:v>163</c:v>
                </c:pt>
                <c:pt idx="3">
                  <c:v>351</c:v>
                </c:pt>
                <c:pt idx="4">
                  <c:v>250</c:v>
                </c:pt>
              </c:numCache>
            </c:numRef>
          </c:val>
          <c:extLst>
            <c:ext xmlns:c16="http://schemas.microsoft.com/office/drawing/2014/chart" uri="{C3380CC4-5D6E-409C-BE32-E72D297353CC}">
              <c16:uniqueId val="{00000002-A1DE-4330-BCFF-1CFB4859250F}"/>
            </c:ext>
          </c:extLst>
        </c:ser>
        <c:dLbls>
          <c:showLegendKey val="0"/>
          <c:showVal val="0"/>
          <c:showCatName val="0"/>
          <c:showSerName val="0"/>
          <c:showPercent val="0"/>
          <c:showBubbleSize val="0"/>
        </c:dLbls>
        <c:gapWidth val="150"/>
        <c:axId val="1879926800"/>
        <c:axId val="141370000"/>
      </c:barChart>
      <c:catAx>
        <c:axId val="18799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0000"/>
        <c:crosses val="autoZero"/>
        <c:auto val="1"/>
        <c:lblAlgn val="ctr"/>
        <c:lblOffset val="100"/>
        <c:noMultiLvlLbl val="0"/>
      </c:catAx>
      <c:valAx>
        <c:axId val="14137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00000000-CFC3-4030-9DB4-D22B2A449576}">
          <cx:tx>
            <cx:txData>
              <cx:f>_xlchart.v5.3</cx:f>
              <cx:v>Qty</cx:v>
            </cx:txData>
          </cx:tx>
          <cx:spPr>
            <a:ln>
              <a:solidFill>
                <a:srgbClr val="FF0000"/>
              </a:solidFill>
            </a:ln>
          </cx:spPr>
          <cx:dataId val="0"/>
          <cx:layoutPr>
            <cx:geography cultureLanguage="en-US" cultureRegion="IN" attribution="Powered by Bing">
              <cx:geoCache provider="{E9337A44-BEBE-4D9F-B70C-5C5E7DAFC167}">
                <cx:binary>7HzZctw6su2vOPx8qU3MQEfvjmiQrCrNs2z5haEtyZwBDuD49SdLHtoqy/vIEdcP17fLDjskVqJA
LiBz5cpE/fN++sd9+XjXvpmq0nT/uJ/+fJs6V//jjz+6+/Sxuuv2quy+tZ396PbubfWH/fgxu3/8
46G9GzOT/IF9RP+4T+9a9zi9/dc/YbTk0R7Z+zuXWXPeP7bzxWPXl677m2svXnpz91BlJsw612b3
Dv35Nrgrs4+2Ndnd2+fX8NO1u+GxveveBLY3bn775tG4zM1Xc/3459tnI+G3b/7Y/cDvJvemhPm7
/gGMidxDimOEhfCfXjBAaU3y+bKHsL/Hpa8wofzLx57cVWAJE379pJ6mdPfw0D52Hdze0/8vDfHs
XuAN/37Nw7jfPpQtEgmA8ufba5O5x4c3l+7OPXZv32SdfXpq7RzY7R1fXz49oj+eY/mvf+78Ah7a
zm++gXv3Cf9vl54j+r+gfXln3hzD3O0vQFvsUUmFUISpp5fYRRvvYSwRVRQ9R/unJvUy2t8P8Qq0
vzf63dC2xlZ3vwBquUeJ4krgzxubfA+1QIxTWBA7UL96Rj/A+bn9a0B+bvG7IQz7WT+25q59yMyv
2NR0D/mSIEnIJxe+izQSe1hRXwm1A/RPT+wHgL88zmuAf9nyN1sANxCt+/ZX7HG6hyVA7xPxyZ3L
nT2OFCBPkM99uPKJM3wK3j8xpZcx3x3gFWDvmvxmKEOkcndv9F37190vwppiX3Kh0CesYTM/I2qA
NVeSUET4pzc8R/ynp/cy7i8P8wr0Xzb8zdbAke3e/Nskj+Xjr6DqdM9nGBNJP5O373a73MOUECrQ
p5C/Q+F+cnIv4//SIK9A/yWz3wz7Tws8KH/N7hd7W2AV8eXLnh6jPSmBuDPKXtr3r57Wy6i/dG+v
QP0ls98NdXdnsq6863/Fhhd7nPqCMP6Z2H2Xm6M9399uebET3iH3/YlZ/QDz78d4DeTfW/1uiN/d
tyCAGPcrqLzcY4IrQkFxeXp9l5+jPcjN4Q+hT1x/x8Vf/tTcfoD792O8BvfvrX4z3P9d1pl5/CWJ
OiDOOGL0ZdcOxE7AizGxk6i/fkYvI71j/wqUdyx+M4RP7upfkaQBKwMVhiKMXk7PMWhuEvJzJsG/
f5ukvXY+L6P7zPoV2D57/2+G7L9L8NgPvwJcsSd9KrHk5AcOG8AF8AXfwfYnZvQyvLsDvALhXZPf
DGRgm2/C7DH5FXEZ74FWKpjC3+VcYg9xIkF8+5yUPd/CPzWnl4H+fohXQP290W8G9snjcPdLNjQo
ZhwL0NTYD7w1cG6kIM9SO/Ww18/oZZx37F8B8o7Fb4bwCmqFv0Qu53uCIM4Y+rGQJiSDP2gnlX79
jF5GeMf+FQjvWPxmCF89pne/ovRF/T0kOAex7AcIbxkXCKWUQ3V7+9rJol4/r5dx3rF/Bc47Fr8Z
zmfl3f1j+0syJwlFLUSl+rGvFhTqH/gTOdupf71+Xi/jvGP/Cpx3LH4znPfN/Cu4FweKjRn2xef8
+LvCx7aFRXEO+udz8vXa+byM7jPrV2D77P2/GbJXPcjav0L74CBr+1sv/HkHgyfeLWphtRW2GRS1
v82NXz+jl9HdsX8FvjsWvxnC24Rh1d6Z+6y7t18e9f+N/jKxJ6TvC8Dwqw9+hjDEYqhrIibJjnd+
NqPXBI+XgX55mFfg/bLhbwZ7YKFzbquLdFC7Dn5Bc6GPAHcoULwsbQL4CMRuJtCO6/7Zeb2M/Yuj
vAL6F+3+H0D+76f47Ma3PYj//pt9/rNtpNBixCjn0JzwiYq94Mg5gl40RD9z8i+f/bWZ9Gv36yc3
/4Lv+dSA+1IX6VfbZ/f46Rb//qH8mu7QH3eOfu3FDe/cXfTUxftN8+jfX31a5NB/vGP6OS6+8MC+
ao77D3++BfWZMKgWfoPsdqBnUfUYGvG+APPc5vGuc3++9RD0kkkCiiZjmCofsqi3b8bHz5egAYUh
5lOGIPmC1sK3b4xtXfrUZCwQAQaHodtQEJ9CWauz/dMl6EjlmEmFQUFFYMa/tlmf2XJOrPn6TD7/
/Mb01ZnNjOtgYAW0oP70vu18GYjoTFIu0VZyFT4W2+v3dxfQyw1vR/+nW/xs7lnPTxJilqNGcb/u
tJVpQ0NvSoZl0Uvc40F7mKdlKF0s7PHsV10f9Vk+69QxvzyWfeZXTuMEPiMJOn/2aBR7Pc1VlDiD
jSbLyMpJjy7vk3djX3l1uPgJ9SpdCE/V+x1tUa3VwPh03ucCa5F6NlkJ1npBP5l32O+zgFCycUZI
3XWD083gD7rN2kr3idet4t6/yg0+bg0vI1vlYTz7F2bOWo3QRLWN68PaVoemiY/QON3MXZ3pSdhY
13W17uv9skpiPSc11hnPs6AQLtHlJEadyazQfbwkepiWd5VQZ8gfel0mRHt9V+h6MrWGXsI6HCt5
0Jr5AU9uCrN+eO8mRjRKysMq81lY2fmss2ZejXzgAe9VH8RD4wIiliksHC9DfzZLNLOWaSD4kc/6
Ocx71ASjHB48Oh2WXpYEfRu3QRWjh2mqbdCzbpX7zSZjTRlUqDzKJa6DrG1vejZXQd6MR11f9MGQ
DThaLLn0qL9qRI9XcREHlVdVOm7jep+mRaInak9ybC+aZgxiUR9mfAnSKTd6kI1GoonmvvyLzvWo
23QIHfH1UBZhmVIvGOrkgMZV1NaSaxMvRGM35botbbGSs/BWHnHHlbegVVG2+ZE/L2uUJO96Y/Kg
sCpbk5lkoceTs0m0mabKBahxB0M/5Lrx23eJnWElFuxwntGlS6aIT+Wg8wltCpNfJGY4yhgJC5H1
mvMli2I2l7qmXrxpizgN/Emd+cyKSDbk0Zao26DadgEz9oQh49YpqVaGFNeC8Zsqb7Stm1MvretA
qAJrWqo8kGW+ysvqZhQynMtU9z659evehiJn62EsL6eC7ZukmTWP00qnMmXB3OUDLHScHtZ1i0Ki
Fn+TjuM7IzAJc+zeTfF4g2h3Rbui0km7rE2qTvOOBV4uNWXur0nERndmHINeFHXYFCi0ElUhcf1l
nC+FtjnqIzsn+0lHk03jmoueL7eFTD40rMuCKZtzrfKsifKBooD6/fWQ+Vyjgmah5emB59kDX6g7
s8hW+0mDA2zRpWJ8lbX0qu78tUfs2ehno54yckmFL0OZ+pUmk3eSpPQ4E7UXkCJbTVn5LqPCrA2a
76pkmTbFnGz6oaXaS6UKjFeYkFSlXTlnbnPTDPB8Mgu7bJGHyp9lqJC/TvylPcp4sapGAYsUlzQC
NYNr7o2rsptPEaKPbZkO2rbNSS3EtW3i9KCtSBlxND0WmbrIaSY0J3WsUTnNulvmj+NQ5XoYShPG
CaYBlkIGdefQuhSjDeKyv+RxAUsHGkd1gTwLCyCbg2a2LKA23RTJdMdTZyLHjYkmro571hwjjz4W
biKhnUqq22KGBeXEavH8j+1IDxObbebF3hqR4Iinzb4gxRjUEzr022ZYyckbQtzzCzphup+4KtFL
Dq4E4fwYFdXBvKTr2eWHQuHzvI0PqzLfT11zGafNRzepLjRjezTb+JR79VUt01yTeW60nyb8UIFf
BN9oYeeWJBK2H9d5Yd8Z6+ZAjAr2bBdrFo9tNCbcBdkw3qjO9bq3HuxpU8PgWXE7EUdgO06rou99
XUliAzXhalXM6Ts8Po7tXGnB8iwyMz1MeXU7zfBEkeovy9HhKB7sTZsLFZDOu8GUPaaJY3ouhK8X
wvb9zt4rTD8srf9xQLAYasOv6hYAG6FlM2RwhghchGlWTSXOhryIEhIj7SWjp8tyOGFecQG3Go59
erpUlK4YbWSQDB7WSymOoOGPhKn093tbZEEfy2mfjuwS1/H7VKhl3ZbZYzV2o47pOGk0LmbTFcM1
MXYJuJgWPU7toDr97dGYZ/H33tZzmyXp55NOX3/815Wt4O/TWZn//HJ7UOo/P60f7Zbldbtv2rKk
r+/6z3mbLSv5evhmh+t8Om31AyL0txd/jiUBc/p6jOp7lvTY3j8+vMCTtnzrM0+CY1OgP/uMEQap
Lxdw6QtPglY9TCWniimBoJ8XyNAXngQNXwSOYkHKhKCJF+Tr//AkqFrQbZ83gT5AYC2K/gxPwhjI
2A5P2takKZJCScwp85/zJOLhEbmmKE6RT117oFxW+7BxKuq9k7YQY1TxtpqDvsmbcySKsMfV/tJW
m2l/34/ztTFWpyPWuZM36TzVus6GK0j12kN/Km36Pk7ySXNnCj0zioOqi0/noshDllduU2NWBtlY
XdhiPp08CHzQP3EXA+kMWFsc1v5yZviUahG3N5Nn1jWzy6qX083ijw+8Fhc1sTAAWepNMrHV0Eu7
oZ06d0n+cbAtjqq84tpBW3xUj664jpPqzKNkCZw/u6CY0Km08flYARPgc+NvEr7EemrlZuDAl6pi
3MQc39J6AoZn5z4a8qUMrG2GSDGab2pw+pFqweUyG/OoatL3fdG40LC6WCdFXOil9tGKpKbUvUe8
XI/cpZu0ixNfNzUSQCaEN+up9MpNmvp1VFCIuR1C5aHfmORCODG940ObaCuqRXdTxk4ziXGQoAyd
zDM9aCaKz1JjbWg6cJK8EW7dZnm3Sm2FUj1U8NE4l+9i1biNwWQJ57Qd9DygSbupiLuDHLXmPO4d
OZR1SxddqblLYA6myQ6o8DjaV0XnFSs8FnqYRYH+Qg2hYd97WjR5fpwCZwQ3lIcOIn1qUK5psqx8
Vp0DS27HYJrtpElbPJa2f9d0xZH1/SSsxLguXVEE0O103CrvuPMwLKQqC1ldXkypOahxe4u94igf
IZQ2uLoiSTpGLpX3tG7OgJGfmGrqXZA6UZyxfM5wRMhA8pOKpflyDOmJ0X4xRkWdc2DYQ7wP7n2/
r+JcTzEEkIljGVVLcr9MY6Zj31pdq7ha2aqtNVMmDWjL7pkPAYdRvwgm7LqQpFPUIxeKar5Otmx4
doaF2TDkwTzXRMcxPXF8rEIJpGzjJVWmfZlEUwbvzGHcFKlIzHUaFD4zumSqCORCh/WcZkPoT/6J
YKMfFS3L9FwX3YHvu0OeTUPgWImjrOw87Vf4A59QoePZXo5iyrSaRxXEphO6KVKtMsm08qnSnRCP
VZw8lFaWAeyuwOWz07mXn/XMjLAGcIT8XgR9N1eRRW2ujR3VSsLSh8OwSWj81iVhzFySQXiyC6QM
ubDFgemcvfpv/HjKsrdp8Y/jx1ZZ/M+BsO/jyNb6SxxBcLiLQIWLKgmh5Cmp/hJHtqm4D51H0CIM
NFX4kOp+iSMMrigIFkwITrj4No6QPQmcVkI/IYeGcg5Z+pdo+izeg8zw+edv823oYduJIxzB6SPG
BUMYxAXQ8p/HETUxr1aIpCdeIXHIhspFcpnJPh/m5sPQEuBUrnFtC57WEyJIioVBijY2XX4950Ue
qYUP/olpMQ1NUyeTryGtH86nUdr5rgc1qU3DZGqWHoO/HHJc64ZISaaQgNNuIN1GzbIP5YU26dau
9sr0UjoHCR1zsOONJ4BqL8mSX1W2HK4pRAgclIU/X6ZIwi7FeZ6u6rqEVNKV3Qb2Yw3bsxc3Bg1e
r+fcDTd1pSS4MlYvc0DNgsrA6xoTFKSWZ6QY6ltSNfmtx2q2oQpBmo2GMj4VPkqkLmWeHS9dI3tI
cZcqCWTG40BZDJmVXwUVyftj3xPVieBmuKhAk4javgBGnwkzbHovZkFfNvIDBqe3BMopu+ih7fmk
hcyYCHJUigsPSWB5i6uyTdmK5b7CHnDFhM6dCWa/YS1e9YrlkD9Q0hd2Xw7ErVkLgHRhBqz91mUt
QlExxENEIf1KTZSrNF54tOBhGWo9j2RZ1EYlEt42122yFr5bzrt2yD8QZbpzJToBySRHSpcdTa+q
sT5RpKvHM+vB0zwzXjL4UdL5tgqS2PbNfopRH5/KDOe3Rdnhq0n1ZZ9o3hcQLY2flRufGCe0J+s4
32/AS00Hlcjo+MhHmTwqosQagle8KrPUNjpTONWd18268loRFjLr3qcE1e1p43kq4Iv7L/P9pA+S
v2W+l1+7vF/wWt+yX2iSwhwcDSi+jEA++4z9SiCe7MsVsPritSQ05oA3k5jAf5htDzV8UQklNF1J
CtRoWyeSlMif8VqgOu54LfCL4AFhdqBWUgzy43OvRfLBdIudxtOplH5A+6xekSHNozofgkpMbgXU
pyN6YnS4HfPqsO4mtYZDlkLTJsuCeE66MDYSXSQJjzwJLq2ajQi4n3mHsDXuWIyXE9W7x5E3XSRy
EKPqMr4kvcePzQBqyzyQZlVPQ3MCDjbKk/TGAc0ZfZOtMiUPKocPQEL8WEzzzZhWB4IWp03ZhgLh
jcogN1Z5leqsInWYlwgy7ZmU4eTTLkhUn4LSwh9zQa9H7n0oBu9xHNImFDEIaNM4TxDvq4emmhNd
+N6J84c+BDIIeWoxQoKt+F9zSosQJBMUlAKUyaF3WdjP9iat7DnmScRtW2gx0z5oejdESbvuk+Mk
2+c1uWg6fkzK+HEpKz2bM47qMQQaeGIUXy1T/q5qgC7h+D417Gpgcar9/OOc0DrMSnwu23nWsl/8
aEi6a+s5rOfe1eAD03I1OVBcG0WaEFzXZQXJd+jESDed9POAlGkb+aYXerF0CaoMLUEXg17rOd6F
4Pc3RUo78A5kDRQ2v2CoxOGES6vzmeYaZWwImfXIcdsUmRZ2HIJCovpg8doL202lpp711/3U7TMf
ZWFLXLaifc42fazm4sYknkiOcbdU70Dt8sANVkD0g3JYgonwEaTWbIwMkx87lW6mdDhNXVsEpOqc
OHax69SHli3ZA4hJwgPZqFSbjKJ4xTqOIJJkU9AtIK8meDarmo72uFpwdi1HedO6bNrAgdAPRTZV
ARvq7HSkOQ69um9XeJZXyoz7pGLruo37dQnRawO+/trrYxT2/kiiKV4MyH2QdVS0arTosDntjAob
oIiadMPxlM72ClaACGoqLCiw5XQGfSBdJPuxvkqa4a8O+/xQFHgIeJ4+1iidgoXOfpQpdOJBpuW0
30/w6BkC+dH1m7aP2w1ueXnZ8KY8HawwVwWeXVijLA0GWl9Z6ULnuKeXHjx3krHNxCGV7GMvD3LS
W+3sfDo6FQceaaegAsU1YhkeDx1HcjVnMT9ws383xXXQpOONnGkdEOPP2iZ1HiZUzRpP1NuH2DB+
KPJx1GZp4jCTzqxBhS7uC8K6TdmPjV4aeVCM6bQZFiej1qmFhu0CsZQz1Z6PBMVHaULksRzmkw6S
fa1KD0Qpm8HOrIZ2NflyCh023bEnF6s7VPi6YNMS/ZdJPzHprTDxYyb9qW/u+1i0tfrCoEFuIVsf
T6FNG6jwtknoC4PGZM+HUhXUioBIC7INE59jEbQQUoZBuaFAlbliBHjtl1gEx3HUlnHDl+IIMPq5
WMQQyD3PlRgomwJ73jZIAJl/Uoq+rViZEnqRS5jG6aDSogtzQq4T5m9yY7yDvkwi5MChMW+YdTz0
++DAkbbAFCM0qAPHCh7UhKBVks9X0rPNus+rUhuUldryKsr7+j7BE0J6cf0Urzm3vRcSr7/pIAO9
mKt8XPOWwyKmM9/PJxHyBpOgFkN7DBXAXrMEp6tJoL9c3H30QTDY1KM5aXGOsoDbroiyqb+Y0XQu
hpyfN3VVAscfZeiXptet5JUulWl10ivgkapWuoJZyalY5UnvbVAu4iivQN+GktsDMnjqw26IM+1M
Pmw4KCY6qUGccQQiaBEbdBrj3OqpN/C7VJmNQCXSNXz8kpVGt8C64VMgd1+AReiWyCZUZDwuRXya
2/RgMnjjWnBzUMS7cyVpDnkS19q6gekhzi8s64KC28PB80EA5yQPsqqZ10uKMt32Lbi8Jg3alMeR
L73reukuVdtu6tSX+6xZztqxmCEvUe9II+5ta08aOFOgW5QeIMnOICO5SgYD/HZsw6FQH9ua7vu9
Ombd2IW483iADBXrurTv87E84Ca7nXLXBbPyPk6JTIPeqVVWDh+YUY+1Ec0+omkW5MZJbTg8FhDH
a03SJD3KshGE/6bLIHOwZ3LObwpfVHqsQO4oDZuAsyiQ+KyBIlTXgdbU3Uo+BZZiGxUJFJ3mBFxx
XTY3liioXfgl05PkSdj505UF6MsSDwT0Qt9FkBKB5y89GyS0P6s7CPy+GPOoXXrQbNz7IS0eqsTQ
VUzQQx0X+SqdUndgYqxjT5JVYsSw4hOJg6XpEvh4PK173wcJJaZVqzPUsLCmZN/rlVonsoJgLy1s
BCs/zjkPadH9ReoRFJB4FBHKO9AqefdxNDWH2QLlgb1fgxhflKtsgTpKGistWqUCIHKljidb6sGm
SxhDYZKUjuhxHtbJwBXI7dMpGeINZuYsncwpLyREjGzV4/2qCuPxWMGYHXWXdTO6gM/irKj4O6Gq
08I0pR5JPodxPq0LhAK/yaDb3b0XZepDfcW1UOiqVdQJ1QYW8jrtcrOyRX2Mcb/uvOq6S/r9okmO
XFVXG4S7IMPzGS6HDe1BkYOiB6z2aTqtSrwcSL+8TbvshPEaFE1/FPt5I46wqk4yV69LKFVq2c04
sEWxQDkR2FwC6W/ggZy43+fZEe6zI1TVtyWaGi3HDgpHKL6mgr3r2+4UVwVdpxBiwylHPGApZWEL
X1Km00QUUDN264RWRiu+TIE3Vxcjj98tMcyvqftOLxkB1wN2SQX0LXFlWOfFfry0j40hNMJLCRm9
whsflKYgnXmhFTzWYHBQk4nJuRtJoknWzyDCdjQshpZvisb/yJA6pFl2lKWpAGGgIrCsm9CvstuF
k6t4S3Xb2IqgcaWnixxdQAfCLYpzqEoSc469adRokR+56tduAS22MTKOcDect2m/jg2+GtLu2B+8
RItaHmRt2uhYVOdlY8JJZN5BOpbXGXMm9N10wGcJhLWcQVoFCRsYUhlwMxZRSScL5dL0eDFQ5WGx
nUKvLT8mS3wFUgfRM8IF3Fxar6c0f2hrdppYBPKlHJeQCtB7DWRLh2PiLRsn65UYBTD9ZjmfCRkj
bwBiXKjkciJZ1GNvo6AlQKlqWNG6PYA2iRSiQJoEDTD9NRl5H5TcslVcze+r1l+5xL9rQFleTzjt
AzkOJ7yvrjEbjhZhwRRnER3oqs2TaLDyMKvbTd7FbrPAIgrGhWdbeXQ9C3S/oPqYJeCzJ0UiYIAR
ZOuPDnQPNzV3y5REIoPd2c19AJ3at1ZCzbKQhZ7GOIoLfyMceNPEregAi8AHf0QgUoislCErDAiY
s7iqexBRoOBWOHCUGeE2Gkqxgc0NYvaSHSMytnrq1GmrlmSN6XhTwrrVsgRiL8YWKCUG0RrYWsuG
AeSlxa79ObmD2NlGNkt7KOfONvIhKT2V0pNrTzC8brv2fVagS2Z60P4XdY2Eu82LNIZeAZCDOgdL
oxQ1Ag+CVguWfxGoya1b1a5gfn+1eWO1kfahi5cSkjU0hCYly4kpchbGIGRDzDseKVwb6/TQKUO1
G9qA1J6NVNU/xLyAJgzRPEAR4TTPVRfEXlwEboiPUc170NrndKWsGkAbc1THeV9ud1kTxJKdpMKH
XQaHmbWX2ZXtk83MmjQS4Cc9SLhGz1zOFqqxmZd/KER9z0YRkLSq1nEM9Yt825gQD5eIQQLTDI2A
HEjs1y6FUGxoASkhFQGkV3PAPdSdbvlwMlcfC7+wgawgoxZxCVJMcuSTrALJqv4oPZNEoEzfjtZD
kddUDEbid0XKmK4T773f9PF5K80xePNOxcd0SNdpRpkXlH0q931XqObEllBW4lAE9pNEQ/1/WCIf
qSY9+v+RR39LiBmcS/w7Cv3t905+6rx7aqR6svpCoZ9EaPjaGZ8DjwbXAQN+pdB0D04u+/5Wt4Hu
v+3XBn6h0Bg0GyHhyyO3LX/4iXh/odB4jxH4HhsIvaDVQrkT/Yycg3Y1aKbgIA/iwO5Bi6agLT1X
c9xCoL+l76cTMxIVDWOcAqcjuSig7WkczrnH5oN8GkwR+X7hbp2lw3VBOwh2nTLNu2+e3kuS+Hd8
XsGz2KYGUK+Fk8F8RxGnBko4Ku2HE9wYdAKCN3DVXkBvSjANzio9jLS/FUPtAaespGuCJm+B3cZL
J2gA513Mg3LOP4Ux0j7EZYmuF+ZJtJ45ix/R7KFp9fcz3rYAPs9AYMZccMg/oGAA8ttOLRjaS1LA
dnYnZGJJEvJpKa8HKEiQlRPQMgL1vwnlYSZiqRfBZyhSFT5ZQ3Y7o7AdrHtIp65DQebVLOzgi1MH
7aoUutlEy4okSmyenhW9OqhA/OjCbV5106XNYVGOQEQz4L3HEF+Hav33d/U9DHDyBzp9MJS54YTu
001/0wgo5m1rRV12J8bF6saCdg2NTwWGpVGbfjqDfgh1WceofP/3H7tda9/2H8J3L0GOKQh8Yaq/
/Wc7rW8+lvkTiFldYk6MXNAJKtL+xHT/w96Z9chts0v4FymQqP1WS+/dM9Oz2b4Rxp6xSGqlJFIi
f/0p2XFiO9sJcM7FB3wBEiCwZ3qRRPGteqo0pCwq6NPfv9KqUf78SiAwYf5EENbD6KfzrG89bcRA
u0vU296LmLuh3hZTpElS9TTHolqb1AWGBM3G9efmn06a9aT48eVxoiCW46EYFhrlzy+PyZjRsm3Y
JRSV/9Jw6b9U9foefNOMeTBg0tA2Dv12rgVAAVF14dtUx+N+jrV3WgJ3sFN35l2V8rBtHt2hB0NG
I63fekv1mW2ZJkz9uPOGnQ+vR34V8L+Wut5+faM/OFd/PFAY7LFsYB7D/I9s0Y8Hyg7ghvp+YZ1h
RDQvbJhGODdWNeFWDPCoLQ8zZdXHMor702IE3QSdt7CUOCr8PIXGdKnG/hc0FVdvbHDDV+X3NDz8
/SH2vgjRP3zL0BdwEq2Nbihl9X/GWYMhYvZAJ/fMPdEXcZRNMTVbWNBuvJmUlOmwCPtONdqXCcVe
OB2cdjuSAdt+rydpVYvm2td+A8OonoGq8qbb63Gakt4X/WMwVlFWiLZIZcc5S9jkciBEfGwvc2+N
ME+Mm5elE/PEMkXbpETRZucHU30lvLwtdesuSS1DcZkK8TARyKtZoAi+SKYJ1gZPgre154ifaupH
7wtbegcKePdkykXF6WxTr0nxdbC9BekX86mOTObMvpUZvnzqRzHdS9hj2LM0ANGKUci9VxDyIKgz
V9sitDCXG1oVH9GbBbyBtcL6IJuwwe5nJPuqa/u9I+L6lak+wHXvNtU9i4slTJTwygPAU5lia9Rv
HY/EN2JultybB7EBYeuovEZqoUzVXEYCO0ha5M3oDpns4xtaWKWdOU437XCrIXPa2jxIoims3y2N
TY9kiPt73538rYy5RTZj0JiXCKp5jvGZm40CzrixlsV+IWM9fx7LvvdTQyZbJm1JVAmpm3e4OOY5
1yXols3QFTTDbNrsWvxVjFre0OGLblSY8JFzKw0x+0K1hq6YeFNdpO5ktc12CECZeVLbq07poYt6
sOuE40yaNu40x+N2ccPlFFTG1MUdxM4J9KxmtW6HV1pQQsz7cbaWEE4DZA6/6j4R6EWTOyRykrK3
L1M1NdVyiJkwWwW3o9g3A4ODyqGr39uh5e45RhUJiCiuASMLO15wuJooytqiwP1wqqtZ5EE1l3Y6
1JNT3FBhB2EH0DKcaaaXOp5OwTi5OKPmonNGUKO4F24Ci/LiRuHSCTDfRH2EE86tRiCvNRugvQvc
vIp8USxIrQKJBVB6hd16CMEUTZPSWM7FZq7DusnHAruCjd+WjQGR4WPFbEkFX6OhgwVdYITPczsy
UMV5V7LosyVVyOzM7si0ZV4kI2B7RVkcWhfIjs/TdhmF0ZhMsLrRvC9p2OTFqIzYxMMIa0fXQaN3
9jg2feoTXbM0XAD2At0RzEpxWMmz1TcGZK0bVE2Gf23rpua2NeIrb9tn3jRxs3eHeKrzik7B1cAD
dTfc6ohzpDMdwxakOaHTthhU397jZuweeGlItZE93kEOl7s0eeQsJk4jDvL53EQap7aFS2WABOLI
w+D6fp2VhVvKDCY0DicLR+xPWsNd81ZX6BzOIrwBMLu6AQXq2MzblSyEEEmqSrgZ61iRGVlUfmLN
Qx/f8mLmXuoywYEZ9dzAIitqb+P0Renj7QI1zx1NTbenzJkhAMUenZP17yVOzOIWp0/pCjhXzDKY
sJn1AWZVp62E4ToiF8e0zLAkUp7lPuh6JvIS9LEGGQX26ezLFrekcgwr/EDcAK7bFIw67Xs4IS09
CA1VYjPOMF+OsO6nB3gn/ou/FE2RRA5O3o1sl9DNRzDYePPS4U0G2bAaMTEXOXOYeF/PM3YWvOTq
fvSD+WM/UHenwrks8qgCMoExsMDv8euOL5t2UM7FLL3r3Y2T7zw4k4W/AZtujNLJ0eGSK9JwthsW
QuY9SNuR3DArjJ9aW6wnJ+di3Ib1SMfbRXtTBF1pxrGhc4s31kHjcY64g8VPLiShJm+wSg5Z5MRL
t4fHVJBbDrqgupKojb394vFZYkif1s0nGL5bv7KCJe/mBi/ddcaoBHTsZLY2MHR8+PWtwyda31ff
OBfPh35zJ4WPrwrqUAU8oVK4dPq6rNhdO4S45AeJXUGJP8OaSqaW3gjH0wPiE5BMcbjnYZGA6CkS
GsyWYoFZAsol10qQddHAxZTiE2EBWcBVYJ88tc1TQdz4ECnGogREeoXzQpfBy9y6eBvLwPXVnRZ7
PJbY5vJjB9mP30e4W2zH1nYuIi7Few/OtUgopFNy6CL4pceCdqXK9BCKGRtc7W57gq81xfytP1V1
5d8uEujCTthaVc9z0JTjrims5rM28bqGMFHTDHNA5OYQ6ei46YMmfrZsUGUAIUqYah6WOT3M9Mq6
aTzGzaoC+GQgJZY938PtiJIYbLGlyrwmLS4TYxVuvPfazhFvDRZkfYgcnFL5vK7YOfctfKML2Iwc
N5lZHJ1BkiAt4npSuNO6ysbWW/APQ6ziB0tjm34w8TQ4r9PYapigCPmoPZsJftUCXNCkHrDpct/j
sMypVa1ObafUdIb2Ut9zNUIUDMed1yzK35k5wMGpbGc0UKqrrjsD1fRO1mR7XU5F26hjqSFqpJE/
NvQBO5Hx1Y5bLCNYOkeVVBRqdxLPiGDgLqDFfV0Kh71zOuNGKjHYgenHfnKtGL9sLIachlZVHqyi
nz/S0rYU9IcxqPYstp27ZbQKoM8SOnfOjMRJysjEwXhXtfEvTdDXNURIZQdnz6HekmrsbsZ8pj2O
2hy1rEwGE4ICisaxzp3FXaDL1yQatiYSOPsrbynDTCN4A/mlHwPxPPvaeeB0wLmGO138hHO9GW/b
uHWwwJI+5puoobB7F/mewB6NnKSqVPjok1bM2eyXk3f2ijpSV1GM8YCbO87ovAfIKjYYHPRyYu5U
dadw6Kl7Sxa7DvYQqGN8rmWxynM1WHDTwdJizcBuTE7nui7w/oe4KjcjjSqazYtt77XwcN1reE1I
nhQ0PH/Zlf6aWft17/w1dfU9nf09rP2/ob7P356r8TP2/cMv+s9jw9eR7q8dyZXtO3QvQrL2exXm
V7gGP/pNUwEgHjshGGQApwBbVgr8N03F+cWPAoziGCNDD6z3b5oKntaBKlDk7wDaYfhCYu53W3J9
tIPz6y8DeuP/G0nF/TJYfD94+BHks9WZtDFFB5AyfhyPoNw0y4LF+kZbKkCWjUhHQBZuI74PQIjd
MA9jOw3pJfCHLVgx/07oKgZrZ1/dwrtWg3zr7F4ky0L3XKkjDZ2NcuWpgqxtKXOoW+cUtU5mSDjB
818+6t492TVSTq5sLuDnN0UZnkZqbXCrv4Os/Bjq9tlfpjQqxBtsW/hq4Ot0u6+QWaIW5NiAuns/
ok+Dxirm2Xe6qi9Ss0zF9mVZQZY4wG43MmDfnHRm5aMvQLjiE+X1MH+M2XQu4HVNg/vBLeutmlaP
KthMbnxUnrgUlF7ibtlA8ExL2l8kQUKlE2fcqp9Dz99Rx7nEwFesqrvhDr+sWqeSAClGk0EMeR+z
8RaKzrmcdQpFfevNMnfrAFYq+O/48zjEK7c+y5RKieU6elm39CzwnjlXe2uMM+WPSIiYrcV51vQw
cvrhXo9Yz4uF3ZR+uIPYlTk8eMTCuzN6vEJc+ghHFQxGe6GFOKkAs5uRh2bQO6yZSVj2n0PeIzGG
KF0R793Su4Y07JPI6ndT2LYIis3nSobYiGlxFEX14nbeNe6DlLJCr4PfjbSmU0mazJRqP5g2HUPr
yuMFu8LiyVtp6dUTaJmTCIoQW4XkIi1skYaNOLOonjfBLJa7Wssi61jwEqp42PZi2Ua9D9xl6Z8J
6WnSzMvH1g9irNdDaYt81PFssLGOBr7jQLb3UzcM/MYzBlg094LW3So8aGcTOzOO/srsrPBOB0Vk
5QmvVTf1hzYYVDqusA8cZPe8+EZlSgNjrxeA5zH2OVnhGn7Fk3O2FbHHBDw0PHlnXPdTUY6PtM4K
xsCzBSjDe6QJpxVEkiuShKkCShgoJeZpsY7sS1JgR7/Bdr1PoVViywe+KRomQN+B1AkH+8QijRAp
/zyvUFRskQcLlFQXuRnolRtD/I0Higog/ZxVgJM8IFbMeOeIT8/WjJ87DyuKhb8LKKuXsJXAabGV
1+oQ8VsBrl6NU1KsUJdZ8S7eex9L3H8Se0W/MGrDePfiCxsULK+Fv8YWmB3s55pUrfBYRaK3so8/
tJo8+qDL8P4pKBzcGfWKnrk9aDK64mh+y2nSV7CDVO/sejBrbsRuIBscYA48eYv+LEP7wMG4IYiG
kJ0lc6SOnpghMD5qcdFggzfNisiRFZbrQM21/eo9II6QE6rcTHouPHSnfTdzg29ZNK9WF3WJvcBW
DyFJbXi17Aur3nI7Zmls1HvTwb6rp+WG2eFHqpaPi6eQJ1vg4kLPBD6lfPxkvSujwUqIIGDhsdkW
LtkWHXk3CeAJWKZSMfp7VsLTlAF7p0sXv9zyPrFCYFKDQoIB+KMlh2wkgU6Xws6gqzy7AKRg4MMH
JRKgYVWmYABJ6k2DTMzQP9DZbTKba40UHo77UhTv3Bo6QNEXIc4vdyMqS8ASnXGJsgpPOOpwWQ5z
NOLtuZ8bG165Kso4kT6c8gqhxrkRe8ZMgPemDn003iwNcAgN/Sxq3P1M7QsF09za9mGaI5PUVhwn
zEKoUtrLqaL2/VxOR7+lD5hGkJ2DJdMOXCWRN0PaWawTk9jVtLp6HOADg0Dswww2GAKHlFbtZpjH
kqZWV3iQWCYbsU9F9x5YOVorL2lBTWxtoxFEaRFXbsem2yySHMZK3/XNiNnVWeo76Mcs/X/Zsfzn
7UVWmOiv9yLfle7/cS+y/ui3vQiSBIiAhd4XrfFrPP/bXsSJfokR2scU4kJEh0j++17E+wWkLihf
5FUxT35xhX73dxArQ5rf91F9G6EP4N9sRv5EqbVt7IZcPLcKSVb7J3uHY/iI5jbmF9nkBkBNQbfe
P7k2ZO3a/VnPRpABeyr0MBO0eeLr+V64FwWra9/4/DJ1nNVIJdvtqnvpKC1cUuXchYrfYRw9hWUE
TaKnPK1NccTAwK92T+9qFm2JT9lptm2Z2Y7lp06EO07tMDu1S7qfkaCTip6Zine9dE62me8wsZ+F
6Y7L4N6woTzYvALCrlaL0xbxJlyD2QWS7xhs4ldngS4CTQh/OFXQXWv5mfnLgDh1AGwCfCcu5QI/
v6CCIIFlAwpyhoq+LWZgXdMKx/MVk1+kATEPmQCiG/GeMGiGkBR89wPk2zGxYGtsmV3RIKdSIBnR
aVE9d52jMx0hOLEr45XId77Q+cqNLgH2IMs2XMH9JYgo7gpu70ZPhoggqwWBuGVhd7h1uhkyeor0
G8ZqxPybSRdYs33rJhLEOuP399manq6sRR47hP6iDonuAKhoElNSZwMCDzu39qqDXEQQ3eL1RveD
r8twPBLdqQ4utHvtYDktt9ThgEpKHSM4HIQHVcryvR043rPC/QFcgDb33tRKb4+koz+k8Dxns4uo
KoLUnsf4scNtNwlar88taXsZ6RcKKxphZ1GWeq8ASYDtlmE+4Ts/oRxgfBlpeVw0bp16iUgSCwja
pHFybP9ZUtZqvholD9zWyA12Tnwtte+A+KEMN/eYbrq+sdOl8jLVOVko2HPUgMPAoVOg8ZgBddqS
9bZig3RZ2AFmCNz8CZUD01Q7aRsjfTZSRbCsQh0KXLWbvTbM6ELGO/CuTh5ZzZm19VlBAtxgcL3z
On8fUYlSiaDeoWqjykrXvh3j+X6CNPBYqiX63NmgHHiVBfMSfO6YzPxmzKpCOA+2JTeIWW8Q3avy
2EKAOhpRXQAVdgz613Gc3lo2vGmunwS3gEqrQ7w0GywgEELM1lvss45U5sbTzvHJyawBn0F9RD3E
WTTWpp6d3B0EtCP9qZUmKbtP8A2cbA5qd7tAEcsqX733A/axNoGXw8IYDxNUeoiN5kQagm0sOQe9
RJK6eg9nDI4kNihtFCLAHWxKEu2kbd4vxZiXDRA0YYvELUrk1KEQ7bkPoxNiZIYAwS0+49WXEsQP
M2XGhmJMPWWzM/WCKqUFuZvwxMkzZPMjkDWczGv8XiDAVBXgdKJGH2NcRHYXJiQesiWKThFGHCBB
z5ZBCtUP7yUp7xB6OoX4f0XiUyPVHY3ZocZIQAoE0ctySYiunITTGRQ8PLW0HOxLZVUfusr50CNW
z8bq2NXRAcUad2Z2MuhHGViJM4KqqaiFPpow3MFrppDL9CdRhTtkgbJ4wP2XIt+qzXxAekjvhWnb
wwRipdEFYjfIrma6RL+Av7jVVsT9thgd62q0Jf7BSHTcP1nfVycx8m3MnAh4/LS+U+00ow5qdulE
RYD2xDoPla6yBttA8G/unIWq2JQdbfaYe96cXox3QlT2Q2QiUK7LcpVrBcdSZFUcPtvLtBU0+Azl
r4QPNAx5yQukyrS96QzO6bpgaVcA9Jw59j+eUCQLo2mnOlA7oZEpUrRPJKQiV87kpg6wFqBl6SzS
EVNNX4XJVLRbhw8AjdRtTbrt2ISvum7uZcgPUL2PZqwPQpJT2HenaCTxdpqhRo+a7ciCDo0Ru5ug
sLoN9fgWoG+YjfZ49bR00p4GB5sizT+5pX0qJgexzWF55Ax7pziQAucCufEYxiwRrHtMVp1Vby50
5Ptq9rf+jG0+q8W+aDGJywi9I81qNE0898v+BK0KlnwLQbmej7VsdrivDcDbwN11etx0fLipeH3F
Q2hQDYOQSha0FkpqehuNKsMtQxYga8yKHQ780dOeSMqFvcR2eIS7BvgLJ2g0mA0sgFcAelunB+bj
Oe95o7PGRT9M7O1mrEPu2L12cXiyBQCBMrZeCycwCQTXJJDjklR14+ytfl3LphMLg3fErjc2hFcM
pdV73RAn5aOuco+WN67xHWBVBCJXz6MdhHMJXNWdj4yJ4VxDyN5/t3v6E8/4Z04Cxn4AZiUKUdcP
emWVbL7fInAzgBpQsLwLyTKXHwbyT670ajr/rrrgV7qh74CMQbgGxHfk/NReBJ8bIZG4LC91AMs1
uGGS7Vh/HWaOMwGR9wBOEs///lOhbfEfXnX93N8xC7KvJgC2lnVGYc/9+gSqBAb4Pe6K70oPew9w
1jydIv85KNy9km2VKhiUuCpQNWIT1qXtYN51Vnhik2enUH03dTw7HyPqhVlj88cAk19WVvoY1t57
9JIsB6d2A4mzqe1yacI2j3pLZE6vojRstd5LWC4fu5YDCjQNRHXGPtU4V3OYgzTDCqyzKQrsFOrK
vfRqs8V6+ChLBSy3dG+pnl7R0rHDTelhHIZNsOrNxOc716ZWzm3sUOq5bbcYiexUNAHiHDNYyZAt
V0JbFIUwhdmqDBAG10ec9J/FCHwB9Ur7wbN2evYeFsOfEQ0/+JAdUJOCzRor3DrlE4g7UAX7yvAj
mSFv64JkmOZs3GAqrLL2swJ3iDR1c47osm2HOVeFwRkMFWAqYUxifO54EyW94VE21MW5XytAoOw4
HZqLonK5pxDCkqW3EMgBIOi6GLFMOG2tnjWJI7uXoIQgZTcrh58OsHaQNzkoX1mJ8t1d2EZYEZH+
aTVCSMWyZIiSXvoA90je+/th8N4ixH7SAt6K8L1t2XuncK6/zmJ/DV780zm+bsS/O9vQhhIqYnC2
8VN7W16sDaSlp3lr9v4uOEW49aSfyJz4B+fcfpiPf3+ur3X9f3KBhUhEAGVDLnp9c9+9uNPTqK0i
zzpDqUjaE0n7DXQO52g9hxs7tx9vrPT0rHI+JuoF/6kv+mQnB7YpLkDrm394Nz/e+L5e7a6N7WXk
ru21a2jl+zej7bnxHIfTC7Vve7eGCfY8qN3ff+If16w/vsZPlBAqO6RFaU1xc30rh12s7/7+9//p
ZwjRBxYilQkO6Kej2SwB+oFgX0PvvBUxrgcfe86vK9T/teHwnze+2zjifz2+f33Yzh8n9/Wnfpvc
418wruL0QX4JvXxrB8C3yX1toEHAFf985S9xqv8etI3hdOMRB9ht/VpO821yh8GwBnfxqAs80MRb
ec5/Uw/wB34Jz7QhmNpdQD14n7jofjzFywFJEO5G9Y3liPd46DgMVll/dLS/rx2EBjjWtXGQeYgE
ra3QNeWWp1iLyxxhyi1WLath4ksjXjqEKHnDfmljo/VtXuvfIhRBparEFToVWWB1IBWc6QlFKX1a
ozmOrhVyyhp2dTW+NMFSJqgTeC0IG9PeQhS/9Jfjgia6Cs5Guo62GRDwPNDIAjlrcZ0tLYydjb9k
8PKmNFwL7hBrDNJpLb1r0X5HtO9nBH14cvFxzyynd+5aDgKT9bWzgwOgPTScrXV6pUKxHm5OiU8h
xLXo3DOx84zFH6P8WsdHqTWDJkd3AF/L+kzZo4ZmLfALC4wz00avxX4CNmdC0PVnaHmGPH/sAfxT
fKakW2sBG0KuM6syiAdNXqE5sHDIQ6HraaOw2UvwCCpgmWvRYF9Z6GJD92DjakSZo/45WmsJA9yb
ZIkIqWDl/UR4/wFswZM2HlKVkBF7F/1VtTMDIBLDBzQp7jE2bpt+DhJP+l3iYZObSBcTFS2iMy3J
kyuQoJZsvrFAn+ZVJU1GfFPmBlUl6IaLra3Vyatr0Ve/LrotOIbUAZ1w7IKXaXkBwoEgQ/Ayarfb
ysHe1hLhoKFHhOkpdmh7X9t1X72x0rzOC70aF0mkUPaYtioA+tHLAAumwPkNfLy1d8tEuhsyFPGN
16D8RiM56sUyb2fIv9MA9dOmNkspgqEXlxvYpqxr0FTjh89zi/GDNfTsLt0bXGGEFLoyxngKrcMk
Xy7v/65zKxX+1+scLNO1fHh9cOYfF7v1R78tdmtxlg3QwUe2Fo5pgBXtt8UOT3RAjtOFcOd5MVkL
T74tdl8eeR9gsQNv/mvd1rfFDs3yWAhJHGDhXO9d/6pVwHN+3Ef7eAU0AMQ2boRYdGHq/rS5AC7o
1PXg40yLBvQvIQ2UOvMq7S9tg8Bx6eznotrUrt63TYsmE1hX75s4PDSKbYBUbbu6u4QoxwDfcQMC
BJkJNHDVKN851SyEq8iGJ21774Ck2hkCXYjKW1OOSfkhGJBvRO8Aru2yQryfh3dL6WJ1GQzv7bzG
brnLIh8dQw7KhszaOgQbU21B+dVQIqIW0vxEkeqIc8MHaCGlzhwUGJmiQ8/Q2mkk13YjC0LTAp8W
44HhmOhGHyITFjyl7EdMy2iO1PlM0Jc0xQiKoAwBHUooUwrWVqV+7VcSa9OSVEjdw61B+1LLP4Hw
inK9NjPJhlYwdOnetF6xr9f+JnjQedda9hZrfn30fWs+gd6CyomCK/Q08UfcHBBBAzqYDiW/QWFA
ulZCJbPxNlMgH8DVBah7EY+ocb3phTNjyzxDgmFi44pidVlambVW3aezZ4sUaq9GalKe+54jW6W7
emOUhei8f/BbgiJNdY05nC3wbH4CsWUXuoIDhmevChZi2ZqLIY2CBehh4ePDu3qy0kJ2MqlYf0KU
hSc9nlSBfKxMLQMnu1u7wsaOu0kPbAXSDRK4U3BXFZomLsr8MoLlUnhNtJmt7pMgmHThRF4I0l+e
sLad3Zyaht04tTy6rkGLqjceBVhgvOh4K1iA2F+Fr8ZW6DDzYoTPW5TZcrkVwj2HPoXXHXcWMj4c
xKXTZlVvbQEh3VZLN55NJSYcPTakMgqueGTSOUYwNR+0WlKvQQSIVLixuR3Qu9qbxpwjYIrBqsjH
ckSby0I3irfn0is+aKH0pkauqhzdIPMn+8kT4gNHRjZzap5pMQEoZOVdOTsnZ1mt5AU+Z/w6BHOf
NWrEdzgG+1LARIaQfJrkeMO6UVh3XRfW5g2UaLULYeXFVf9UFSVgXaOO42qOtrLqD3yK33eVfZ38
4TXqdTqIFgNWidhpkPXjjOY7azPYBCIavbCuOywckYGuvgUYWsG8RxywLuS8Dwr/swksiUF8dr0t
k0WoEq9V5p4E5lyKAe2ONZs3KCtAa5wb4HU9AFLDdg7NmOuQ7mbj3g7++9FCX0cj48c2dpKal8eB
rELN5MOcc9e08600BA4yvDxA3XdY7OD3TRmmiB55LnRyFaK4dcfpFPku5PJoOnaSXRFLWFtJ7k0P
QyAYpAt1j/GEQDrG4UKJaVw67mYAcrpxq2BblwzlqjX6igmhETR+5HstiTOn7WGBt2hXThrT3KLT
813otZ+7wX5tIlIBd6+fTFuefKdCO4rovcx30V1qD9AMgRJ8jFBZdIormBwLJHRt27dNh2wmCHHn
ZnbrN9eAOYPx8SZHwJzYlF3dWfd7t1UfnK7ZCM9+p1l4jmroHBASsmbB9RJ5o7ddULTcoiUI7jc6
MCIN27PL7H64jRla8wK+MWOvUl8UFx6uMlhQ7bBNiw+h5T9GwAvwyip1Y+/BQW3jlvrdmBnh9Hm/
8CUXFjkvuAxuwy6++nrcoQCVpW2tUAhak4RARMeOwCWJH04ZPivy6dXopQCfX6jokcvTE9oOa0Bk
Ufe5jD8xdBRCdr5W+E5wH3BSUqKQb6qj22YiG+gQOIqq8hKYvEOizMzSWfEtFQLEB69h3kzWK+yo
PIoqkfl+eaj98kI50qKBZOroWU6b44DqnU+W6wKpFuldqOgdQ6lH1O7iBboB9L8SIekFyUH0IblH
GkcBilTCD/Zo2B7LMfQ7OLilt2wsKu4JQzmA0QPYlkCiuc4xSVyOnxCYYei7creDH6J6SohzOcJq
BpZxL/3l5NkjRwcHWgeQ8fer/jJ3fb3vnfmmnJarjVglQEa98YPw2Il4ZznW/ECNlptZkrcqxug9
huFdQ0Oem9q4/7V9f+XI/nY/dWXqbRjZ69sfd1NrjcW33RRCfdioIC6HgN4XXuy3zdRqByM1hf0S
yvy/tjd920zhEfRA1VCkgX5Sz8UzD3/nz1w8x2MdJ+Gk+eiF/3e1GPGPugJkb8SKVm8Z2b6AAHf/
SQmlpIVuJV0UoHdC9OHJQq0KRZQWZ1xjZ7HHq5tYErfK0MbgyITN0mwclGmHuHhQlxlhPLiRnbAA
RCzW3gesfJaVpbOZjO2xKeLmXrvtfCMXrz+1bOo+gf6eD6SZq3vPmYcjgj1Az6clfMPE6O06Lyo2
UP1XpVBM3QeKpyDEiaXQPTzMfeLFNSghByAO2hU+KhU4ny2XmSsZAybTGE2dYCacGtFuIHJ9IFA9
xLGa2LxJAdFVt00jiweC1rWr/NJhZ3Mk5zBvfWm3Mz3orQRlFhFq75wQaBJeUNoKlXgKAzz8M/2l
LQ8WurobgMXNNtqkUagHLA/dekHQ87zxgd8/WiBmmkSoCk18CyjoIZmHtaHPX8v60Irs7r21wM8Q
AlMEzTtDD/B46qHNtj7NbDXE/lH17vACcyrAiEr1WhVvIzllCQVHQrPWdbfagSGhKcpwsg4dI8YZ
VbgjCmJ9F/JPE6/poYeUbM4+F9M+EhFTVyiezkYPfotFgOLERDAhBtxnbf87YX2tyYHu99cT1hOC
vfLPpisfP/bbehChfJgQWBA2APAfenLwBGofZZIw55D6xGrx3XTl/QLSGhLP/7B3JtttW2u3fZX7
AsgANuouAbAmRaqyrA6GbEuo6xpP/0/Ix+VJckbaN400EkeWRBJ7f8Vac9F18cAuTt7vnBz1D4Fx
ysAJKMMl+4cm39/PA1jJgsRG5kkEsS4c018HSaMMQrCu8+48T4lToZ7iHiLLIPvagv/1dFpeljg/
VjA0cTb2fkuDyc1MTci/m4kVNPSVEWvlWe50+yEJK7gsmYlmYMvZh1pAfVcONBj777iQcR4twgI0
KsHHsoitfb3IDhQzw272VYuAKkF91ycY71qF/l230L9rGAa/6vt1rBRs/rU+QtshpTdDnDaKF5Vl
IfBipF3vWFIAyzJq/BwiwQTpypprmSnTZz3VhrOplekNx0GZOqwn02ld+KMKeQysQdoUA4uNoVBv
5F7Rk2Ofxjd1mwzYcPIRI9SF6LxXvSm/5FWAvU6+N/tqi4l6o0tGsREyvwWrBc/W/LWdefqY7XyY
7K6aAOxtCABIp+qNYIDbudTOiijfOrW/A0eHup7m7KOZUGTZdDsnySxranrd2KeRfSoR+nnzLBr4
nJL6pmE33CJThwLaVqWX9Rx2USrpnhisk9ra5yanFQKxAOwAmeCGyIyHSZGeUoEuEYMp5UjbBsJk
+oS6JcDj5QlLjjxLW/4K6i0lMeqHWms5PQ0rD28bqOpeZyq1Z4/y+KSl0cSrKAq2JQn6PU2qyanQ
59vKaK19KKHr/enZ+5M14p/4rfnrdICGqKpMlY/1r5/laqoRkoxWfW687GUg0eNuvmPnvqocYM1b
qPDUcl62Mb3ay1mEaGvVoyNwkv/xWf9tOPu+G2BsT3SerssyKHDj158D7dDQoeMszr4I9kiNRicJ
KhJEBk3g+Ehsr+p9mgZh0KD4lnwKzNrfK7xHRlJlzmROZ9sHqmaJ+bnFprBuBO1925Zr35qfTd3X
V7EvIWCaxw9VWqKDqCvQaA2tLvAPsVJCcCw6aOVJtTcIOp3YR3XJRbuadXs7q6CchNhoGloZCLIL
5FNzaPy38ai5haqB0AGdPQzBUfgAkBMkue6yic6ymAkEZMUBIMmmCmJ6bDV4CIZiq6jZqRsteZEB
Y2vig2balbbu5Pju79/iXw8RXlliKQ3ZNDgv4e+q79XNT2smexaDXWZ+fZYJathwEDAOquXcQYfh
6UWkoTsIXv7+W4qlIvpxcP339/zt3ZTG3qx7qoYzdrmPOqEqtEzgZxoT5053IlZCXgUGQxizqhw9
RQysgypAfgMv0pL0YxFZT3KE14eO+81PtHVJsS8K4yr782c9qJ6zIarQtFbl1y3Yv1NPjXfgr+/k
uyJ9+bOwpeWrvl3JDDzZwyhMLbmLvro9fhp4arJhqfhD1K8Eje8DTwu4hg3oXKDKVJGY/VSjg1FV
Udghs9EAVCzAu3+y3bGWS/fHR467EsjFgpLGkaIbApbyrweIBowLj7eYbqw2qC+M/7LbSCnNpyLV
xH4aEhQbCsZtq+3lE32+T6/bh66i9/OjaQ/tHS7AdDPPSnQw7ML3TKnlxItg1bCHPqdpaJ/6BbCo
L6hFVit8fU954gKFtBBWleMWjNl+FDMgjzZETlaqCXpsOd/E+eC7hPIMlLDN+JyFYbAvKgb2GmoY
VywoyMaySgdv3KMtKidM1ZfJz8x9twAk20IaDvkClaxRLTrjApocU5AcC3qyiwAg2UbF1gYupWqI
dlXYKkAvOZ5bzs04fi0nZdCueLvcap6DxWPxMRzxg4LVcaJlJAVPyCGHKNmJ2R6cFtbTJVCCJzmZ
9lGn1iw+8qteVCA05VbatEYw7+egU/eEBZheyihUkapmh9zCdtEzaJskzTWvF8LfGkpvrSI9SPYV
u5mVX/TXuSbnABDGEkagzytJ1xnWIZgXgX2GDLHg/Xl1JNbEt9FQqi7sVOWmaYTl4sIud1XY7PG6
PNOEAfFMcQxAMYw9JSj3YVChXCP0KfSkQandVErktW8o21iTVpNUB86o95usTTB/z1350hdBfIJX
9IpHBnk8yK9VhijMHeA8oda6M1RmASZrsmQcN6JPH0U8tPaR8CQ8bgJSaKVcCmE9yvh5nVRlisFo
eBQtwsJK93xcB9DN0EWgNQ9OTaMTd5Rnh0ZVXnW96NaNMdwBo4tXjehBw+AI566Qb8zA3uZZselV
/RiPlCeDvAmVDsF9GihItYzL5DNeCqKbbI5aQi2yta2xnpz16aSjWmWf9sBaInXnUTsYPhRrzM/P
mag/qYMCf5DoAoK5NoU+PVSMxtD4l6zsygYweo6h/gw+g+gmVqjg8qjsHKrwOlwDCzvaQOx4KrIo
OSo0awQuTGmxJ65ABQRcj8fAENHu/Qz69zBezqa/Pozd1/T/nYu6/ZORyfKF389j9Q/4neCs6Y5s
FFp0T9/PY+0PYQvcyNq3vfm381iDgySjbsVFB2WEU5mv+s8CSgNNasmLrN0wUJxDKf0n5/HvLRL2
P0LtacMW9r+myb+Vla3fxU065+KSF+NWTiKU6jCG+8n76ZX5s/L1N6k8vwn7NVOTbYX4PVvo5m/f
CPgFO6MwGS44gZIdJDlL896NZRFm1EKwgpIGOMZKW9zYU3eskvLBFLA2yqYdHWJXWqIulOTQ17rt
qoUNB4aZDQdTuez866ehIagss8J6hSLKd8ImvSv5ho4o00shI7JiBoJptxKVa2GZdlQzW8bV1qHK
RseO5drBpjUvAOutqmJK8Y1+LQgf496wFbdBOl+a2gfJMk+21gHsVdSnUEsLVG36nSrUWynDMyfp
5zZCoigPjNFBJ+0wU58HP6MwtxUSZVCeykFP4lWItLbr2yue7DVkpw+2Vb8SU/IcZNPHeoY1ioEu
p1OKLjqpVwZP8xr1xdaw/XrThAsFuq4fCiPYRpYWOGkYHsj++ZQPrGf6TC7BfLClT4uxdCXqOZYt
Rb5W2vlZQR7rzBq2N6smkm4Z4HN4V0byTGvzUDfBqRizboWw/tasuo0OYxGTtwRnDlDGoKkI02Hd
OKHQ76SJ5jFrGRqb9rPdZrDwRhfUKddqpyUrPhCuxdnM+xdvErN7s8g5W8mGfpJ65G4yy0y3KqCX
0hAIDIzj1GirAWbqOlHSC+b4eM3abUOq1SkIILq2iraxe17bcOA4lAzQ22WFtQx3OSztW6CkUFTn
5jEy8NgFGKVXapveNUO3o4ftEZTLnzGKYgkbpsc0ivTNqM43YsyNVRNiVarn+gt07y9iSAHgkKhX
pPbORCTjJMOwyRL9mkG94Ug2jqaKltZI88+sScnRakInM4p7gx7d1Soz2Q6dujHNgcPZX1u5hmWb
jxgnuDaEbFLD6iWPi6Bez+xhJ4esR1o5eUwixKuCPIottn8AkeawZiSHz7Cqxz0eE9SIE0s5X0FQ
qH4ZZHsX6Xhj56JGjp2U/WOiq2hCgkGBhqhHSEy6EeR4EiNtL7Wt0icw2wNvsqoX34hulUR6tdi3
slxtrljqwvtJ9Pdj0LRgEwa3GBIEtZmeIXboj+ylC1dqcDNGSe70aJF3xC4MH43YbLwxKKG4y77T
UFnhsl2FWnOE1un2bbMdhvYJBBAmD7ID+1gGJVGcEoNHVs0TdNA6aY7SbiY8ES5oGHrzOGXruI++
GAMDxnhgyTl2yi3Qks1YtK/JHJARRJhQbpRP5LZl9+YuJD0qadFYGubLGMvPXLAEBaU4XKf0OdXu
+oGEDsyxZQF6UapXcY53A3GwG9pauwpBFbGZ2/aY5kDuFqtoLvuNaqIilZWE17PXnnMN28VYDK4v
1TWSlXLTKfnNVAwf6wK1XzRpj6DXrFMpAcm5B+3kBJZW+9sCM0f6v47RX9UCyynKdbG4uymdGQb8
rhZomkbV/MmYLhiCyRXY+PvxrjixAV5JL/kHTME71fFX/qF04s6NN+rXm/4vJ11Lbf6jdv/Pt7eJ
h2FYT/X+u/gQ6wq6UKObL735Uvo7W8YfPT5Lxf+aqP3Z9yHfexkBLpDA93nbz61wy51FlNF8UaIj
nDhsS692sBuwUf79tfTuSP/9F/r5Gy3Sz5++UcdIvhGojC79unkkasnrt/IXwh1hAZ5QCQSr29pD
JrUW24ez5aarc3+K1o+N53vXeD+strVbH1uX/9Et1vzjPf79z/fr7fz19eb95o5WwCIiI//1x6sq
DU+zgtLT0A+1gZ6K3Cvtw99/D/Hb3OH9M0WaOhsafGw2IpRfv0kKb0vJJ1m5sNg7+1cUrSflQ7AH
UUXurDut9h+Vzeicq/Ww1XUnO6AzuKJrXaM++3f39nX3pvGa/3UheUeAcsbk5gdJ88dXfa8iBUB6
kAC0zkvNtzz436tICkyEmQSk4ML8upT7tnmz/rCA7XGSE6GNvmj5Mb7JmOjqlzGiqb1P4IF0/pMq
kk/k7ycD03UG+gxJkZRidvht9YauA2WdHMs34r0TWcbNDhu67nMdk4WnUT/JmZ9sJR9tQazYj37b
M+QDkcyq2vzUZumdmQ02UhXhdhynqGyiT50k75q+OiZSDPRGJ3QMhCv2s75dJ6ryTKAZ4XNiaA5Z
Ve2qpaiboxsoZruMIQD+4JVSNza5lzHyDkJIV1hCt3nE1niQXFMlLWIwCqeQ5gt+et9BiHEr1Bbm
gik5YIRBQUgKPZd0L4UoWnxY0ivw3+vANw5p/MQA+BkGWbeK9fi2qWN5VVeNo2T6IQO75MUkZExF
IU5yqd2ECEtWsqIdZr0893l3sBr/S2ljOhHGs4BffdVGLN9B7sP3bZlHC+njUOteYwnlpYZbRcyK
xVSufoyE/CUw0fPTdFdUIekDxs0vnMr8IgSAJIl1mtKAQoPfwZeTE/fZSxMXzbr3k8gbphbHgKj0
Ta77UGIo1more2DIctN0w3NmtIhDTHEcrWrTapiY7Ay9bc+WzSLnr/L1m0Sg5Fqcjx2VhgPL6DE2
7HU36CfiYjZya8FHsOJrnsmMXfMRL9N8HBpL9ga/fIpCXcWzhvyJnvaxaiZ0l0n7pM/DYVj2im2T
vRVWfaJhCo5kMZ9tgEtu3hoeeHGykFuxbXwqu6YK7kVa73DQRo5ltvZ+MDrcb0b4JQ/Mu8CfNhgv
R1D1JMhCOWPIL72ysz3MRr424vYD/22bF+wAtN5CyIK6dxXG7SVv4vSI7fDeOBZKwt4YKKDB8+SG
Kig9s2veMqXaxma9MRhfOGzPgjX/IzDIyisL9LJyAiu6l5o7pa83bGM/apOCiIbuvrT0Q4PDBB0w
i5s8z0j4Dqc1aIa11hIUyZTHm0IwGnSKlpPMNQuPFINk5reeAC4lguKQ6BomGdyNCZMtLRn2cdjG
TlhP59rmtdf8QzvrFAJWZE6fKfvrD2HeLqFeNvYQo8jNW1HKFmh0q86kq1za1S2suizdKGO0Jsh6
nUihseqE/0bU76vPQs0JicyEImbuzXx8bIz6U5vgKCuL4soAZCOFyVVBumFhPXVU4PflSLqYavYY
ymT6C709K7hv+eVKrzJNaaWO8bZoR80LSZwl9MScHUhRmVNGmduCSVGN6WU0BPrn8dnyGdfZ0wNv
NLPmWNpNkXTMKyjPibTLEaYZieIEcera5FtjGMNQmpPezc09afNeLdsP1M5uiNnXFdlIW4TVVI3i
oxlVaG8SDLejuRlsg7VWxhvy2NbxZhq7dWcNLAy6XQSkj/0ALCcsrGFkP2XxshSow2Nf0hHOVWSv
x8yAyJAgnmH0yNbpczNoPATstEf4dAmTNhgXJyJ/dqzMuTKFXGPyGXhvdWIMum3X1J+7ur+JR8tt
Yu1ejoKMiMb6OCcmEmk997SEp1C2wlU1KjZLKflO7/zXymAwZ/fZriVeDXxKv1UCE5B+RZqcml18
GTFbyFYjjnSIZ3iTQq07Dai/CUbNySpNHS2wPqZqt2oNrK3MtOpJ3thmd4mM/oMsyp2PwgcdgOnh
7uP8G3NpVRrFrdqRSR7N9Y0mY1sO4u2CnSDF9ewb830FvbUS7dUXAAEroOmVDg3OnlzWdmvDqD1V
UmDEYQkkAX7mFFbXtt4e5Hxe+qTesaHtVaX8KfUbsWpF96xCe3EGZtw7xQwu1CiQv4MrCP6jbU30
sTO5CgZeVBlrLelLlG9lgGpBihYsjd5tQKhc1FQibR3ZvW29qWJe5xmWcaP1mtqS1nj+cGlK7c3U
lpfWtB7GqKOd0+HIjJlueyNQyqdE9Sc3KPu3uOkO4SgDis8puItjaIMm6+roFu2dK6L6TQ8mr+uU
8oxJdg248CFRBN1YnzxyAntNrl9ryS9WgWx/lIz6w1iNhyGDLdyAH8UzudD84IAiaQ9HqP5DcNDa
RQyqTTu/spnHKn41aVujaZLHPpWGxFWkXFljDB4ca7S8VI52QmdUid59dsci/KIBT3KnnggBFq8v
9jzfKISEs5o1AzcQynpE6gtkpnozW4abdpuc2sjkuJzG3A2L6EMRiwuxMbdaQgZoX2irMWw+s213
W3kRyU03jTHuZuIYMFqgp8n1/GGcpMdyLO7TCOEZhD23TNFgWtNw0yf4NrTZuptzZg5pF3fXGuK/
p6dmvNVymTksEl2CmRRS1f6HaUr82lAsSwcERiaQPh2iHraXpdD+qc5vKguIIIOpG+UuWz0R/3up
HLSEjv1yf9ucin3kFexRo6O+Gdxwi892r0PuOYWb97ru30kpsI6/KXCPL03z+idos+WrvhW4yEVY
KsuoScBui1+UJGy0ENyjtGc/Spm7xGL/p8BlFkrCH6ILnVW0juyMsvRbgUviEstU/kaTP7Ssf6bT
V4g4/bn15ROEkoWBH1wrGUQ7kpZfP0H4RkepLIzhhmDLxvQAP8Twb0yOt2BiQZuK5fpNAtWb4p4n
XukUCdyvbEXtrpwjKAy9MSfHrxSqmP3D7CVDmRfV8pAY+ufRGMjaSUlcmz32YtGE0rImwUwJ7Ddb
zpQWbFfT1GseUM13/WmebTcti8Fg4Cn50uxVRiDmEmvpgFB0LhQNenMXjIqXiaCePTqEjNwJC7to
2yUKYTmJZW0AN2n6Q6pw8a9Ntd5FQsFFRIIIiU2ER21HdeqgS6nWSFaURcReEMRovZhmy9swGRfG
opV+inxk0TazJxY45dR7UlobxElDQCKcirC+jDTrXq/RuOkAoGbsuZtWnljy61WgbfQpfDMGiWls
br3FeUqqRYYaxCz5M2YqzHj7rgbiUAyHMCibg6XQOQRRJqAzVQx1ain/xLg8WQmlhWCYsadZ1bIk
rzod0bQyRfLWqjWCD/0hf1GsFAjaXAT7EljvRVtYKSlXK/Cw/DUxZ32jpmrglWGvbZqijTwZUMoq
oeT2NL1LL4ncQVEChJqVPVq2qhoAZUC7Dyz1NWykYksWOR8LQpWwbmkVu8DAZOopfWLPFGyNOe0c
xQbkFtb1mzn4/qYUjIJNXAKNOyAD4ncS5qYosmZvo/RzBdRilM0zETSFURAqxzKwi2WXE05DWDxM
V9v2ObTsAqZoF+orDOwJKAxQd0NHTZnPNT+mpT6lOSVPUMULDk2jvVpiYZDCEz9T9tWqI/kAKbpR
XYOpUlZjMLRXE6zXap6UCvjXNCW7phBYG8Axe02PRKjRxtIbFbNbNVlTef6YJ1uFWs2pCMzZ/nts
vivwFjLSX88FdiCJ/3sqsHzN90NTh8EE6J0u3kIxt/T336YCMJgWJe73fT4LpG9TAcxNBhYA08DS
vASj/tgtqfofhG+Y+JCEgMDEkPGfTAVgN/12aDKohKLOz8BcAOHvQsH8+dpVw7RUgt5sz1ligKwp
0oi6JGNjeWXevKQER18zg7Wwl0kQTnpC2HX6PMVDOD/lA97JiM01as9quokHRiP6CkYqZ8lKGY2q
YxUMunbDbicj0k1DldVcOQ5j+BxAvIv8ea6NTruYXWfXOSkSZa8dRl0fmtFhGx43LwhWa3DzreGb
DTgdSA1g1zhgaN+a0j6FlRzuOIiNVTUM2kNV4PCxSACrOiBAJEMAUFaqoT9E9OhrYUX52UyT7lYB
T/5JJimg3PVxGHzqtXpcpw3WGywGhcc6BseBRDvXS3G4NTSFUaM1qNNVMYW/a7oCgmJuDmcl7hfr
QPlWAG9jhSBE/WJFeFHTVgOoG/q62IV63N5DDsgcXkH9szWn9qYP0+EY4Az1sdpsUklTbzm8U2+E
LAeBUUYLZSmAM3Tqyx23Kx2kXMfrhF0gMgKlpCRt4ECvVEX9xNvUbtEBUSkqS+NjQ1Z6VmcsJ+E8
U5QmohOfCEbRD+Ahg92EVPFJ1RvVVRhlX/LSDtzZyrqbrks+85Lmu4pgljuliWToB6xAT9oQ2Rxl
RXiesoS6dNIJJYuaZmPbac0cxbbONFv6NqsgSthTVsM8CKbPmjGmR33wm8cuW/b0FMhOI0XihI1/
OeNDWmssm/jSkE1elaSg3K/05qJG71egXBwYPeP5aZI9wV8zqxHJWlf6NL4NGlg/q8yC/Yjqip8t
NqUT8aDyPosaVn4YX/BltJ1xrCYr35RBpwDm5FM06jWWjlnY/p5byXjsbOlDIYfiKJCO3fDj+2sp
YaHFSYrVrK7lm2kOWe9YQ7wLorz38KLFJ60pp9uwtga3bxYEdNSNXtDP/rqpmiZw/z1Z309WmQHk
X5+s5Be94Hd4af77eF2+8NvxurjhwT3gJlh4tjyHP45X/shmVs42m1Pv/aD8frwipeLYY+GPpfQ/
5eq3mtT8A789W3BmpEvuETKBfyClYsT72/EKA8KWl6IZbbNAPrgMZX/qavLA6vu0t4obWU6DbRn4
mzDAp12Ds+nMfnIwzDRHYInFRpVndWOP3SWPCQZV8+xTjXjVJf18i3tS92y1npxgMFRQqCGotVCb
V7E0CDdsLXLQKmN2pWHMLlVgfwh1Zrt9rarOKM8HQPXHWte2VgEiSpfCTTWVH3wrKEhmtE5zPWGx
LhJy6dN2H2Qxq21N388W7JFAM0+G0AguLRlERNbVHswEcmR0beX6RaA0hAcePPYZJraB3BiSErBj
Jf18MnLzw+gD1AeL82SnxQdj7A92ohwHk2mFnp1aC7IQ7PSHvEbBKClkYPjDwcRYkOfxWgmkj4J8
5AABc8t0C5pAeSzN4gmR0plQs3gV6iAyRx00i6G9YMFCdTxSKUpm60XGHHKmpPBL69EgJKKasFzl
DLn7JW01zm7qYaSGDtRtsWCGxqE7D4uyOsD8udGTdh0b1e2Y9DFDZvSrkpgvqm98Fm15n3TTGgB4
tlKD/DJqxnoCXxXB0ydHsLkYnfkQVj7VqTY9GRHr9GjQS1Q9S8BaTmqbGk2Nm1M/cqdd6zE310qY
7kclfQ0XTYHVigcjrLG90qw4RmHfxL0pzqlvbuGw3VVnLQTTjK19sA7GFMcOl/o6Mnt8+hWs9HaO
vVZt+03dWU+hYYBGqHKK8CLaQGXgIsiKz4ytCjdu8caLSlmnFtOzZevcTtto6uNFZfuprtVXxPSv
QyEH26DSzgtFnkxz5knoXr14SrVHBGYEZkxQ8cwFvJVX+0w3dqmuEM0QrmsrSNb4JmGhj6PAJmdM
G+vdxZ/rXesNvXSNyuGLPSdD7ehyFDtyXW3miihvs632mlQJFMPl1jbILCxgppG2YFouJdZWSEG+
Yaf+Qp7EfYT/memkJwPMgY8AW0mxPxQqEaZh1fZ3laZUxFUHo4e8YeKDQJCOMneK12JDXqHturV7
crEIpFziGhlZGke/bxTGb3XspgGCFtNMO8+KSwVjcSGgLRjyWkKp58iA6Q+TyK8ooT+rwaIL9LNb
uhjaSIM2rWz4XcJ2YEM3d16DwZKh0nxTFDwpMQhu8lzLi2/qxzBj013KsbYyYl7A3HhuW2XfFNdI
0+gVa+vC7NbfjUZxHv2UGQ92JlsUX7RmSdic4hfyvUvPTMhHlUYpccuZz8egwyLWKj1ww1naqJMT
z88iUL/09TGOaRMGLyrQbFc+H4M+81/oVXvkC9XJn6HS5ap0NyJJIGeSdrEKH6UgeU06HhlSZ/ls
lzp3OQgPCR+BzVQAun56DxX3zabrAO/M505NzQ2KlsDToEOiYMF01AdVfpTEqJ+UPLuXSOA9jz3z
RPJ1Ys+0Z98dcWWzC/LfaXisUYcetGFi4SVEn5Da0V1Y82nWNQz3dUogpebzjpPpQTLWNF8LvzQI
/0Re3mTks5eTdKsirnNlvhMqAgTwEM/J9EkSf91PyEWLqtW24dL2a+E+IQKHJUR1zTT1kBbNnezL
974eFRRJ/Z74ReGp88Khbt6Z1OWo1E+JrTeDZ9B+xk7TxYeu6+OZMEc1E+to8FHPxBEBvHYQav9f
xhkuXVLeRu20JBN+3acuZLS/rgkOr/Wfjah+KgcWiyPOHLQXprVIpOmbvnVblAOI6BRNZ0GJeP+n
EdXSUoG11WxmPQs2Z9ncfisHNLotW2Fliubt3f/4T8oBk5/sJ3EGEyrbYB9o2xZQT/xO5tKM/VQN
mEoZyARztGezMZtV0sOGhd8IBtWsNHtj9tYL0djDuip19oPAGDSJdD2rm2xYJSL+yOynI0zJL4BJ
aFEDDCzuYugPpaR35qXU6nq45EN5Ri8d3Uv1IGykdrO5jpu5uVoItp5VWLjXKZ+CTSn79HCBPRQg
3zHGR67Q5nDdvlewFR6SJZNLymLVQ+qdNh8zGGVjCal0FuPsqp3RRM1a5DiK91k2zMVdgINL2kTM
FoTXIp/a2NAO3Qhf44aARMNFcx1viAGpvKHylQ2zZsUbRiKmZHw8jwjIO2Wb2JMxe2rTsRKahD2P
XtqpRnUqzWV+BrlValgpzsapm/C3uCU+hruIvQX3g4kb0iAGZQMLLGnvEjWtbc9YTFQ4IkOxqUz+
ndyn4mkeNJsJfBUkMfmyYWHuKlDx8lcd0L9zZJln6q8fUXbYXfPy3w/28lXfa3aF5w1plPrVrLDU
zN8fUsHzhjac+cY78OXHHFm1/1geXp5Qnm4LvRFf9e0hhWWNjpqwC5u/9P35/Qc1u1hOgl+fUpwP
zKxRBC9DZJYlvz6lmJgCIpN87SaZS3PazQasg099qLb+DXE8apadJOLfkNKZqSN14d2kBdoq4bNG
ZdfJ7IBIUSYdMfFYxcGp1TN5Kw9oD61RBbvRFy882oHT6dHLTFQzGE3iM+sGyUIG5YLn5xJXZNAE
7JWhp0Nct8jBsaZZ3ka2ASa3U3ywoUlP4m/We2FN9nZotIeORh4JbfShV4xrpOYbI6URZ7EEzILH
EkRXL2dQbOPiikjvkVnljhoFs2WKxlOQe+zYJPOsonp+seP6ahiVvO0yYbAEFhcht+mp0+ZiTfhV
7gofvSGmojcQuy+siVonk+AmT6/U1bo76VBWJTVw0yw/jUL7UOaAeIF9l1utIW2Q5ochTamgUiro
hWaLsHSlHw9oQ2JP1PNrhym7K/qDYg8MjgjyKsGxqo1XE48nCF0mYQ46Q92rr62NFnTwgRrIKzGr
xxw/56yTsNEFPmP3JYMki+7hdSPVTcst0wtvLOL71Jbcts2vZS0fQgk0YhYt8pXs2vOWdplGzuYY
1fmmlbCNWEa5V/TsU95A1SEt9Sj39pEENQgcKWP1Pf1kfQXAU/rPwDwD4TVqEeRXln5TucmWnSjC
agAYc7ysxPvkM+vS9RjWA/Tv7rPdhGtT2IEzWPxx1A2vVK0NNNTRXmX9uG2n8KzlbNpp7lAjtOHb
wGYSvtj0kdHefTuPV6VXntW63MvF/DHqY9sxGO54ZqB9icS4H+Rgek5DjC1RW5JsqdKz9cyNdRmh
hF5fiZfamqxaj51Z3U8RvxbYfyiwgXXjjw3qjXB+Y+nidmGbwIIwbK8FurudzTclLjTC0trHviUp
Kys14aYktyWEg+A0jQhiJNKyVIiVJ1OW9IDwc5BUM8jtiXXyAIon5h4SUvMRK+u24LFxcisf2USS
NGE2y5IFFA2Dut04aD4UWgnHhvREusbeKFXFjUX8QKhGQO4dLtGGa4ynGagbZDgzMR2UMvucAo38
ChjLFZjq0EjemrC9KTPtpW/8o5EyMUum+Ewi6qFcgCd0XId8SLE0qmrvxJpJKjjD/7jth001Eg/V
htSXwsYCllgfSVT3shSldBN8VBO1vJslgw50yRFHOPtgSuHdSES5bA9PVahhawnt3TxWB1Tm5cEv
midj9DeEzt5JhrELVetGQuobysZrqc3nLKu3TMQ6Zzam2S2JI3FJ4Lzt+2KTEFoWdBFQn9D2khF2
L0+P8dz0zS4UcXfrW6xfAIOvs3E4GG2T/Hu1fa0+l530X19t55fyTy625Wu+X2xYQrCFL/ZfYTO+
5+L46WIDh8d0YpHMsjylxPw260cBaMB6ZDvw9friq35cbOAVbf4ENS8LVO68f3CxMQ/774sNQaEG
44PgboNYhF8vNtRvmaYDab0pF5sS0X2oShbrUomHSYmrjY+nSVvMTX7ZfZJxO0ULXpFZ9KHR/dQl
s+TB7itXXhxSMxJxHc8UV0GLZSK6MaJ0PfnWhTkXmdGL0arCccXH8zTgwCpwYhHKt+1iAdIMOYvF
rhW6F51di3/LWIxcLY4uychZH9rcD4vZy1xsX9JiALNwgk2LJazCG5bhEZM55Z1SWI9mqV4aXGT6
Yifr6pzDWcVjljBy8EdwRpNuX+Ex3QVE/+WLLW3SYxQeKVa1Cc/asJjX5sXGlr8b2nC2zYvFTQWa
KOF5y/6PvfPYjhtpt+yr9Op5/AveDHrQmUifTHo7wSIlCj7gEQCevjdYreqy964ad40liiITiPjM
Ofss5jeWtMRo5tgDOh/vHgON6thrUbYxKgXhDI5CAFFgneT21q/zD17OoEPzvyKcZ9fXTZKtS6jg
I5SkrauxZVHZvpESZX7nr2FRkaib6wfiDk6mlidHXdjHEMgRR55WrcPMPSsC+da+cu7J1GPk5DXd
WkimPpHfWDBRnINUFB7YD8EbtzZyL9e/OJnJFFF267YL39rIe0iFR9CNMPfWFH6yQUdmRHgehqiC
GiVVK6Pk8BUWUJQ4REdJSOnD5LFrcUf7wPRoDKyoutP1fD+y6VoT0oi4aybLsQRhcHAU6YRQ1Sms
U3+byLbfwKObNjWRoCt8i98IMMaZUC+Xt5iNO78m5mu2sw0BwslO0BUFotO17YBxYsHFGQUuhFAy
7RL2PvI0hQjIyw6I9LB4YKgZLGBseFfTXVfaeb3HGFOG957yxFFHZBiBDd14YeYfoawka7aeB8z5
D63G1akhUrRERc2CbBEQmL0ZPBl4gyxPEmkje5Uf5Qj3yEL0qI3DS7WoIAkKfeoXXWSCeWo9IJUc
Fs0k19SZKFF4bagpG2SVWFgH0nyiXYfgUs4er4R46hYlJvuHfbpoM53IunYRa/aINu2E/Uz7pePM
2l2KsDNfFJ6a373NSD4HLXuEuVazRAsP0aIKZXJB16cz7WsWzWgSS1jtGWBOgZUVVSlj7yuJzLRb
9Ka4tb4nYfJYiqleRyLiJkOcaibV04BYVUTslptFv4pjawPD6XVYlK2qA8+waF31RfXqZNYb++dT
q7vf3bk9TchjZ2SyIBssZiH29bgoaGVT7PJFU1u5zom8xTUweYa6Rnw3RNrCyZveDPchExtr8k4V
Cl1/keqGi2hXot5NBhcDR5bfoosUa6NsXivR3aWL5Fei/Y1tRkIOamAT929BjSiEs59bVcLsRzis
LRLiBi3xYix2fUxBQ3adFPG6t/jUF/HxsMiQs2J+8xdhckdZjKauXtTK+aJb7hAw92o++AiawbGx
etf1ALi5j24uve9y+8NfVND9yIJP1u5TJFBI64tWuimJADPjblPUnIUrf85HEkkX9+fXRfP/ezMJ
T4F78O9v3P+dvxef3/906f7yZb9eujq7cg+k1JdzE9D+7y5dmkLPYrENCVQ3+KOfl64L32bB8rOW
X5Y8yx/9vHTZvdtgrhAmAcr6usX/waULYudPl+5y2RKx5HLL4+D8wwbIG6Pa70llgfPZVUcv962r
Ro4nT+bwGvrmyYFxWJP8g9x54R7GXwzEHmLlVM9U30t0lh9Xkvdjuu0i61gu8Vp1zm5BXyK33Exn
6oI1mrSEeBtlBHMRXcI4vCKsC0Y+uV3c2eTDfKV5TVH16sdTiT2PPb3bARPkEm2t4zCK+WiDj4nD
9eRNybHPM0Ywodh3ooF9J+d1QvQtECi4l7Ge+YvBbHiqfM87GazMrzxTErie3Fc9k+0NMSnattI9
cvoaRFbu4BNfYs6IClEdroyvzD/dP2Vu021q6gW7M7qtPVYXz6YMH3CPgjeeuY7CjvYvlmrfqPai
t7zpnaxfG+ggmPE3MXRno0XBb0UnNXN4dSmLKkIMaxokj+Ua15CkTltFIUhVvln0I1Sl80YvRvRI
bRN9SRA9DP641fd+09/FmXnvUZ/0h8qJRXeb6LLe23W1RtbscGRMrbx3kFbSW36RIk03tHamDuZv
BRflR7YgJVEa9IDzwEzOhbyZ4E4yGjhKOJQ1PEoPLmUJn1IUDhgt8l3hVoIYWNtJ9V1J4y6Ba/nv
4fG1QF5SAP7+8Lhu3mX0+edJ1PJVP88OxsUAoQz+Nfdr3vN7cY5uMfG1odVhy/ktG8skOg0GDCBO
hlEgAH4zLjYxfuP5pqDHzk+d/8/EOYuF/HeTKAp/Sn8W1ZoPBFn3/nB21A7aOOVq4VUDG5sFRJ75
a733w5MYa+0k3RYhndCm/s1K4yOP/asX4a2twLGZC5dNKIrkvRPnzIlqU0uZnUL5GdOES4+haPkU
NQveTf9CvcmF+oaYDwAczpXmneFG8tn1Wtgw5gUTZ6MpY79LAHs4ptu4T1KiMXOCcNZ5Yw3bukl9
5zi5ZJT53MXtV2wZgFwizFKmyasROZ0g64IRApAFOwnxCRN+FhLHTojPsrk1KRzzJSMNywPpJMSm
5b1+XRGj1toaJbq61c35HBOzFprizEbtoBO/NibQhWwHMPNM3bxGu95zJFjxubKcnVaJm3So07sq
9E7dku3mLClvkd/qZ8kmZ22g0d5MDjrRBiEjY/j+euzaa5GNqPMilnmTpW/mkoVZHCHyWlGdiWqd
mFPzIzO7e0wU93SEeCsGCBo3os7mK9PKtkVdbSNOkJcSZb9LnnsIvupqsHI2Y2X8g+qP1W3lRhuj
9FYA6AN/MgvGALaCgQqg163RqzcUVbLmx61yB2ERupWQWMvA0AlcHyIV7pMq7dlitttuFOWdo2zG
gmrdahPOar8HDmLQiCXiiqXYFnRhspr6ynpsUQi5MQGpUGO9Ld0apF82CcTHNTAM3QrGUE9Xpgs6
nZU0onbdThgvfvMq3vxi3/wfsi9uSBnr2v/1P7lef/NgfyGqAMzYGOwd1Lp0xb/vRIlrUVrmt+nF
0OJqa+bKeCfghRN7yojn+/f8+zr/lv7978+/JbE6SD6jv9AnLl/46xHo/Af2usYC82vAsEgXf84s
OB1tZu1kItlAZBeM+q/lE35G/jqsIZeGgjkjB9fP8sn4jw0sY9EXY4ZdBIr/ZGbBTuB3T8oXMJQV
smdCRGJB5y57hN+uzJI0jZm7duYVnDNqejurIXque8fO0HoVqoLFPswu80xLq4wxiJkA3/dlGEQx
PGOzT933LJbQ/WiANPDUbq7rN0pvmV6kw1SBQhikf12U3XyMzD5PDnU3GQ8ohIR90FuN4Fjfx31S
hGbIjtghjcDIslS/T1w/xywYzXn7jVRhR11hH2rs2wqz1uDI/BN8ThKUMukZKFten+60BYXpo5Mc
7rp66g5WbrQCqXWckXm8nOGzRdoir36snYzljG/qmlmuBBmxiUe/hnBNsdRrU3Kyu8k6h+FMrZP6
of/etxJ6ulWHat65Fh4OXqL+BgTEO4FPb24WfUsdC7225WPkcuzPqis+ITPpLOWL2vquOupMKGZG
HamDnDV722Wif1NOhEbc0BIwxiwdmBQQV8U613vWRVLB5VbhtxE30r41JSJHEcZnkRkFzPHGvXCS
4jupqnrHxKlkVo8CoMigE9oeyc9sFxnZD+EVHy4oDF58KtUw8Lri5PV+uQZz5l5Ntj0fMourgZTM
nOFuvHOX1JAmwrdiTl7KYc8p5xJzWHn+p2fFYucN8z7X/WuTe2xH5jBeu3YxiYcNxbAFFDBGmp8p
1A5c8DsyG8dVD7ykYxp/yUBRodAEl+fnpIM0KFk3KZll1wx6snvuUvOORE75mWpWcyzqRD6nqEY5
YevvEunMv/i0/ztkpcj6+1Pr8jm8/7njW46a/3dkLZq/pZ1DUbes/ZZz6eeRhQ8FydMSbE8HR5HG
BPRnxwfrFBwPbR30T8hmy0H388jy+fdwHSECQAW9tIn/oOHjYPrDiQU9zSLN1mfZjyKR/8XvTyxC
5CrTDpPpOpE35sQKyggntYI29jjOhlppE6F4viHP6IDvCPb+gNIi1q6YdeAqmBKmpNXozHzik3mO
NbNcj8L5wKZxlff+0zzXj6aSP/o+2oIwXeTZ7iv3N+nurbPkUrBPN4pzqUw8kuHgr7LZvCgNL2xO
INiqdrInXut5a5YOE+CwXkMXI2zRsF+ynMnGNH/gF5EMHf29qvvHLOluGt+6JB4re8337otsJEd1
hEIwdMdSoQ+fRHvSvRQ/nhzYOJT8zHOQgomvvf5A47sl8COkBpRbGYvnviJemzGubfiXnBTD2SIt
VbpuuAklfNRZwcQgxqH2ci8wKXmo0ckVTK7bTHewlNQTS5YiSABYgkVtETAi8LNTMrtJoyGQR4qU
6FL7tZiJnHRU6II81/KjWyZ+UHPso5EKF6MKy1g1BLm1ZGZODKOVPyOl7u+dqSo3c2M/4Y7EhBol
jXWP6ZI5LV6VEnzLiLdvftSVIilj8GggA5tuG3MRO6KGFI0oXew+UQ6lucQSUg/J2XOGTdZOOy0f
97ManA2JN9w+EboIDU+lO4NkCW390XIh3Reu9Vml9lWutT5ar5lbgQG9g4eeAJ7+sZPyLck/m9A+
1rCNEEO1B9gpBA271LapBGmiiU2cVajv3eHK18qCwAso8bH2PFnOsahYnBb29F7rdv1oFe1dVFgM
dVkmV+rQEzs+pimVpY0kTiThnp0naqzaPE04koivr9zDJCYU1IX3JIYG03Ittso3dloyINRKypUX
qsPsg5/TSvRYViQDfyC/Y6irXQITe6W58400wq3ZoyJDDI7ErX+a8/w5t40fjAgKBJr1i+aVJPBm
jwQsvEZFczNSsALs8/aZnF/ahtwVrYz3NCIA47jZ5NgdC/aXayOdX4YOQYtev3dTskHGePLTJNCT
6tVJyFsITZLvYMQhsm/yByaEj3GLB7bqketpbnbKRrbus16tOve19inFm965air3bobHp5nhsz6J
cadN07ro+zfbi+6MvNy64GZMi2FoBT0cJa5xTj30pLUj8QkPJHtE20x+zzIirwZiO1sV7soEnDc1
BPRse8LUawcekrOVT7wt37t9mXscEKFjvBdhKNFIZtxNzGl0FsyrYZgenJk58ViyqzQb90HK6OTV
2uvsxVe5P96ahtgxjZdkFtNjIUAofBzKjlsT9FjwAIYPeYq6Bq3Opw0UmRdKf+AxfiFjAelsWALJ
cm5b30SiOaHwF+qmDBVZV61urUOgvEEcSptuiLLD6xqdpm7Mb6bMv8syzhU6SdJKBwIQC6Y0W+n4
H2PYvWd5fRPqAMPQPYZBq0ASFVMNjTG1T0TaWzez6e3EVMaoKmna7iupfwsnk+lNNj/ShJ2JvvnQ
pc5sqp/2wN7FBpc4wfcR7L8qbrc0NHLrZ91nWbkzKOAYintW5aRw1MxyO5/fgO8SvmrnwCIsPNy6
e8LJApxRP8Rxd9dA/kJbax6cmUScXpzKgp8yyeqg6hAK2rOwSM+NgjQueqgGVvBvo/LVqGj/5aBm
23y2f0VMXb7q1y6F/DospKQQuEx0f+eiWmT+3N0GU1xu8a+4+p9XPv0LfiP0/1+zmC/D6s8r32b+
i77ftV3kgOB7/hExlfXuH+98Rrzc9zaiQy5+22Qk9NsuJcPb5AMydS9IJo5RVw/yqlNgQ9ZpMVQV
M5Okn3eeatt1ERfR+FT6y+iy9GUVnwgMfx3N9r6I6ymIW3JYVUeYj4oCaFpMeTVSwkucf/BI0w8T
tTRoLjvZcO+SRTrbF913Ojgj4hVj4Z0ssmfVg7y47dwqvs+yZO+rEXlc2K9zcuAjLRGXLJSe4m7C
/FiI6HXi6b4J2cY4N3E+uTe29ECmWchqWFZhCigDmyNEPjiuMLchJAu1aYmh765r0casxbhGhk2e
qefM8GMTEl+5T+I0nfbAFK5Uah1Vb9/ZkTUFoSuftHk5dxNzVcbVNwxZZNjF/UfRMezGbL5hsPYR
y3ReNcK6OL2BcWB86mGyrk0lzmIQgSgsSSnAANyqKhY1k0LyK11ro1vxM1puD9pbhtzZvs88dZ2S
gRpMIvlu+O5D0VtsPnG0twW/FNvrbl2TNW2EuH1PxSSAp1bZ27R4sDKV7DUwrkG9APOK3HtAJWhs
S8mhKiHYrCAP7Dl6VnIYsLSq5GDGJlNgQk9WksTpVcvxuzFSlmJkEB7NylioC8V6NmOsB5axLzNw
cYZH/Lw/jcZhGvQlq0f7rpV+4PUgN0RohwjX210h/fcoLk8cXlBPEUslnoDUMfv3bpgDZeDkG0Px
3fbnba6NB/IDL1FDaTiETVA1s7MvJKPxFpMaBFxihBJO8l4U31TsE/I1yRce6Q5VC3EOjtVlWx6v
W5Tz3Yrc8Etnp4JVaHiT+92tTRbNKor1u7ASSLVzF+vw2Njr1B7aNc8bMI/yhRU/DO+oO3Z8gl3b
b6mSkt1o41dxtJrySuLNHabrsbaf9ba7sLd/ANaQrROtfSqi+A6kTIIkvt/pkSMOqdOZK+x+d5Mb
PmhKu53rnleEGz3gcolWfkJwsN6EN30476c8xC43im9NLUi2sKpsN9lcq7Puw6noWbVEdrvzGDME
0AbmIxfFdbo4A0vPVuuql+aadPJuVVvqzIL7O+sKbgePwMg2uXLSqiHM1T0x4F+qYTxmE4o9nRcg
sPT0nW29wtDWXbOVfxlErK151YcV+GRnHffmj2JayDBVCY2iAk3jolRjAeG6I/xiSVx3lw2Phprl
Xlg8nYTXY+HNk0+W4fOud90XW9n3hs4nPJRUQ3ljHGiFzIApNVNRgTvBAvWoFZa1VXV6nURO4Ijs
rsiHSxTzbKuYLatKs01S+DckF9VbJyf8kcIPvmQzTqtaOg+oPwY2qtqP0LDeNDP/horkUCtTWyUR
ZXsojE+rFU9foJyiKJ4KSPwbw+/vp6nTd4lTvJaTdbJFOVFVoeSiZHGt0bk1U69ykQxqkFfi+oMW
JqDpAG5EhgCldX3lCCqvOSt3UKQ/GtN4rRlM7X0NTULluzdzP7Cj72JMII3j8KOa1DbxRH0QIgl2
YU7LLl97lZbvJw0aU+9mKWet+VY51n1XLKPF2MOT0ocqaHrEmGlVybVMtMuAL2UDm/FzmNFZS9u5
SlNjCMihcoE1SZ+sUQuUS08JUVAbrJSlvuF3L9Z6S9imFir7kox2Al+9HgGXGnFgGvWdkg55lB5u
JH2m/E+QT5geDJ/InIKEMLtgSuPqqnDVYSqgCktSmwtBJcvIDUSOydNaNek3x5UuaVLpvLFluI0s
c9o7sqkPZWVtM6xLQew6+dbzqJo5D+edTOu3xrO3shE7JsS7spcxbtvEWdO8kD9FzbXyuwIsjiC6
xrGn8NYhsXDr1voBvPw5dRP8VkXq7VpgXYFyPQ2q1jQd475f4t+Z+1edeTQqE2sUThPUZ5Hcx1JS
n6mCz0ZNYktRzH4RQTaQLEwVdjccTJj5K133EP/ZwynK/WPozyeRzAUu16rZhhluqGIZ2rn3nnCd
M7oSTBs9Pq5+mG6qPn6QBvjQbNbzLcsJhD6xaAAZdd+cuhhIHLO83egxyZl0poMkF9A55vFNl+Bv
DWctyBjE76pqPiHiPYe5GSBEvBkapHFmWuPVD5WzStzm4tvpNw/rXd6GTIZcGlfHETYEbPtYmt60
CZ0ICNhcQ4nV1JPeZ+9lJm7yJrnPkJysNQyrm7ShVW2s6jNHIxkhDEHYZKHwTSz+ycSQgcq11yoh
pG3oyZz3e2xhujYEqm7CdRlmqFAo2NMxjZ7qOA9wkrxCI8evxavr5sWPpuhebVMQsdBdqi+maVd8
w2fsb3SfDpUUjqe+9CD2Enm+MoS4nTWCJUWeXOmVHa7KMjvlDZWIxZ1qi4EDTNc/R6/du3149nDa
0sxNR6SttMyZWDr352Kit5UGZrupYACXWms+0GPd6ic7L76LyvuhRtGvHFUeZC32YZt+gvDdYpPu
di2cpbbiT1UpnsDPnefoVIBHa3oXl1T27vfpR9xy+A4AIdLGPfQJfi+78wg1dJojOo8tek4+HqhB
qxS6xDjzPCehwV7KsD5NMiRXQPTuWWrxlznAh0I/J81iNifSFf8h+iIqtzcqsEMysjqn0lmZnXOc
bZpj5hHXTu2tQl896yb/OGSclQrTU6aceGcW3TcLP2Xk0oNVOJY0F3YTRQwAnHbN3Hdnx3oRTJ55
gQ/72CiFmK4lclZU9U2V+Gc26BCmcBP22DGI0rMhNVjFri/xUAwGjgVdFavSrOidCQbeJiGvDllJ
HBbNdF8MNT+ah+s4pu5ceXmyEZJ2SKJrcc34qKb0R6zb8O6Udz3p6a6cdy3JVQbUkEkGOmw3kT3E
+bIktCzc5569S9NlZONSyJjzh+mpraOiD89JzrjV0eiGjDLaqn5H1AMYyiAQk4t4aE68Pg/RhP+D
8e8TUQDMQWj122bj7c0o3xss44YuCxZ4ya10GhIHNZk42MxI+RDP8VCWWPcN2TZHyL2K6MBEDd6w
LfNBTLcTn47U7EQEVggDNppdlQSenzFf0vhfkJ6z0kSzm8G0rRpM4gLyfiAzobaJVQZWkfVBOJQv
rBLxiHiwMoYp0sG9pI9mI+8VNvQtTNYfddo8WwmyB5pSftKkg23lH2LXekf2cDMmEL/Au2XrOEFi
Rd3VrrPMqle2GvQVXSnYoxhdQaZxsTFKdvj8ls+O2rz3kXj78bluCG3OCU8cO/cydAlJZu6ZtYW/
Alv3rsOhaX3rjGqD6qasPrhbJiYAjCOk99gmiXVk2/oJZk7u5lTDtzp4e2vob5gnoOGI0VLTSqB/
jFWAMu57o4q9iUiB2UA5g6lzzlad3xkZRJEOE65dlGrPuQttHtjxZHPZ2W277wfe6NTgG0KjXzNd
b1etDny5nR22f+muMqh2fT17y+pkbcXXWbXsb6EbjubBbkh+9r3hIlrmJ7JiLWKn36upYcCuY2We
kksZaRebiOdcDhfLuHYQRYm5ZpUpouOglc+Zig5dnLx2bvdY+SU6dog1HuwYx72Hbbym7r1MtfGW
VOgxgLVszSI6zJM7H9I+RxKXPsaJcAKXWnATd1Vy4lR4s4pyeC7mAVxKnZ4YFZVBS+rjGmYAzMMJ
K6mjv1SDBn04u1UgZrLKwx5NVEox+a+5XZ4TM34uVJz8u3n8ZYa/QHr/fob/S/Dz6r35+OvoZ774
176e0Ttue9dkuQcLanH2/zrK10grRDCFNstYRFpoH3729fZ/dFp6Hw7Koo3+mgb87OtJK3QMB0Yi
+0INJv8/6uv/uHuk72E6YDDCZwMJ2Gqx8/3GrmfG5Fp2U2Fd4uJtbi/j+Isy529Zzdafo6WJP7Ng
vKLtMJgb/BEP0Iet1YX22F/6mVQrorYmIrfyML2zm+4Hg7WgSZskwJNKVp+QB4TG+6ZOGW1xEjhL
mBeD/p10m71otYcU5zVoiu8iZ9dv+OfebkbUv5lazXF+jUuEqDBz6GrzOiqWCLGR+iDil7i24xo6
o1lOc7tSmn2AIRf+UIguTBPbHzLpxMV7neTfayMP2Sjo+cZqDSgGWiReUuJmWQZa3/p4JCYKDuCa
kXW9mHcQKOvetVu5YpN7zYvfwN7SDXw/lWWpm3SkcTfJ59rqDZ3z1EiiA5K3zDDONkGFvl9MZxXR
meey3CNknuGs1Hhy8x1GoSsvjky2p/JNaAgfYGn9KDJx3Y2YaNpinrcsXUECdvduyhGkkUULij7T
xF5W/bGrNHaM/XQ7Zt6ROSjjhLkh14B0Fdd9D/VBMYJN9xEuoT5L3jvEG5iQUdjZ3h5b+LWY+XIC
5OPQeG2z6Mg5D/vEPluyxuxiDFe5OQcOGL+mqvfORPxraYFhTeZuP2f5TROWYCpnJj8JhSA8xvUk
0qMlrIcu14FkzSb7zdm6x8RVruN2jDe9lxymvE5Yddg0YSnKlhoiarmkAlj+RpGNwGexmD66YRtH
8jjCf/Ct4dkqTRof++K0zmvbzddZYt3FRYhmPSSIzBquYtUcykkdojHlmoa+X/hqnw/qjCv13iG8
F0ld/szN/aSH7jMxKNuywfI021sxNm+MC/Cod3BGzfa15IdH+joywp2/s01a0pHXbCrIlRvPlUo9
aAT4wKyJ6X3nAZC03JDoKveNt2CLJuk1Cin8xrZLt6LveWzqH1OZ7r1lKGRWb32jvQqh3bfucguH
aTCM/lqz8485C2+zgmDbeIrOeDoz5gbcWpZwyaRFX0/3wCKHGbFWFB++TpaFAB628WbXvvLGVh4T
gBGBqLgGbec+9a2XvmqjrTAaImeq5e1J1b2mpyfRU6cZtQKIXKNoErp9NxLit+6nPj8hdF62Q7jU
/Lyi7raSECauc4k6w9kktvOkOV4U+HXofTR+R0mHPbhcDRXJv0HRDCGTwUngYUqTIbmMTQK6pnJI
ROVXsWJGhT1NoChM8zIOrJh44Rz08qabWVvILiRdwVsSi4oeI5MDgCme4HPWzanrxuvKqtqD7Edr
pZuLsMeo2z2T1nQTJf0Zeh3lTFbJnQ5ZLRxnouJHA8CklVebslugB0WSX7vkroKwEO0tHv1oHYbV
N3uenprQfHczFJKmzipfB9aoCxFMuTiHmYEfIGemlTk2C/a8LO5LGzE/e6kwf+4zeaeGhggGw7m2
Eg8qKYTK1AoIvuqDspInt3Y5ECmodFfdyt6MkLUtweTTkSy7fW7WmxQ+B2CBc54Kgp/jKy3XnrOG
NOheOyo/zHdyzBDGhTZ7qQ57HVBovdMYrFAEflRKGOBJ62WKWKviIdMLtR0Sk2SBMoFSzSQl9uZs
MydJczV72cU0KuzJ7a1eO8CdiFoghUOSFm8HHHkHQw/7TWQ6zSGfhkdHVA+FQXPBvicH7NnHm0nR
dnPm9PjxnJLEgmWCmIgfuD/wofTI1/h2VtAwrrguzRzUy5QBjYVNNeykVUw7jv74Oaz5DkafP0gs
MJAJYHz2iLOO+FsuElP8OkcOfehJd15Zpftg1+Qorix4MoBtmRZPVhhuUdA8OOH04El7XqIfmCT1
OAnsPtJXrhq3HZgl3OFUoeVUl2tUKkxpBrt/aRL0YiPaYLr4RGH4s8jmsgY2JGASt6ZXNIB4y1dn
qLCjJNvRBbXaAr6Z3GNWT49anG6GhGTNsoof+9zAlVn7p3Eah0Mp0iYow3xiAocRpdK0V9PxmWyN
Vv3SOwx5q7JgdBbzoLtJj0wxNF+M0e/uQ8Met6ST+zjhtf8uEeevRGoOza9JdCi67UUC+tvr3ygK
lJ5RKi8d8yJ7nA+2o25V025/Uxz9hRYOfcGfxXCLbYxlBOSrPxcBnTtjTI3lpcjzK7b4j5xKN15R
vHFcEuU7+XwAU74fxgpeS7ZvjZh5H5FkhjxxUp1t3Dqpn92yH75zCBcz436N8xi+TfhZ9g6pJbwC
UF0vjvbfhRP+5f+coAkANpa9BKv+/jdkF32JXjmTF4WmM5oeNIKP4/IX2MXfVklf3M7fJEAg90eH
TyIR4g1+Rzzov/8ubZ9VcMf64VJFcYty3TqYwDNXWlhzbwwDEWFieBFVXt5Kn2fQ1w7KU2RxTZin
QpOBcVpsYzAst31s+veSWwlz8QXPEaKiUnGVszVe2WV0STCtjiHQcWXw3jiFYsDrkxhq6/l7xniR
5WuymxXr+lZ3NnGeZJusM7+JxkC7zl6TU4m2DRnbuqzNXUoK0IqriNImdg4oOj8TiwQUGtB+WeKM
bn41zS5KJHcSe01X6RVayGI1jyQ3Rjph97Gfumyuo6ew14uHWoFz8fXobBcLgMWpuj3Tg81QcsWR
kLeaUjfbVJpxjaZOwlLBuQfa+xxq7z1RmLZ74Fx89URe8Jbr+ym1oEs38UZWcl5ViBZMdPqzRemB
BSAL3Kgvg1EU+6Yr6Jj1Eb/b8J4lRvxtyu2dxtgtcPOYJMk5X5ltvU1MBAsICO4Kx8kvfq/j3J3H
U+22V//166L/5fPAC7kISD3gX4v+57fvJerfEhwQ6HJXN95Nvy0CImHyi0N43orz9C1qkR+gXFjr
DhPZJGcbYeZX/FZmLEcZmdVRe4UJbaVm48ouvRfTkvG2Lex62/cauwnbAAWVsKxnRAHhvLSKPQK0
KmDnUAfYkKlHOIi0opTrxK7vowJQlR63JbcB8ScdokJZMVwv5m9N6bz7BpEcg16666YwHh1jonYG
b2F2euDg9Vg3toCGqpyX1HMO5Kd+d9wxW1WKYwBntiPHh9BPzy4O6ro0MUpOPCGMzCfj3h6GqyyN
70Hv3RWuv3Om7sVjZsF+sNQ2sBepBethQ24AYcML19VMRQD2g5vDEe+CZ2Jd+earbooXPcbXWXdk
7cQuJrxZYL0YSzZqzU5DN+4zgzJKd8VtFFgZ7hLPg9UFJEnpAzDGHIN13j1g67/43ghfaHo3lfat
RkUuXWdjT/w/exlk+LIwTJ1d6WwVjP3YxX2SSHdt+MltVonsMHnzpmynjZNj9KooaAjQoi/hZRyE
f4uv5QcGsXDlTtjp+pRMWjZBDv5Jg6GvrjtnpzV3iVnzKS1pxVY0rwlrqFZZjzRRZ5mmq+eSPOBI
JDd2bLHJKrdGJk4Ft3isor2n569D1W4hXUn/YLEj0rk181BtCWHbYHKrgh4mZZADOgF1eZrBzbt+
AvtMJ/aoxbUHWlAn+dljauTdMJDaR7I7Rao+S8+m6u1ycZ1XcBCm3D1akTpVLAiZzbNHM6tEXyst
3ceVuhItXULO9tgsNiU5Y+tQ3Tg2lCdskN4FVr7Dxsrah+7wXGkglArtyrGbZjOG1jmNVcvqLwxP
vTEATrN1fe2modypAR85dcO+nLo2II1p3wxUIS64fyBew4Z1of5/2DuzpsjRNEv/lbG5V5n2xWx6
LiSXbzjujgNBEDeygADt+65fP4+IjChwImGquy7GbPqmrbMy4UPbt7zvOc/5ZGmbv8TzmfvVl6qc
ybzlwBojq4hbzKg+DZJL+hzO0CHx6Q9xdYl8/2fB5W+XirfSu59Zua/HO/NLyAHy3yxlZsjzJwyL
3XCaUQ3+115dfzwJzR6Pd1em4xOTDbQHhL7MK+Or0kBfYxqMxG7ADDmCxAqHei5J32jYUDdBLvDO
wbsrCiT0OblBl+bMH9CjHMHvXPHq+b1OLQnPqmheDZliYnlqvwhhfshF45oEbFQ1kdPU8lwUg+DR
+Mu0Cb9BBrwTALae/JYyn4ZkZZVq7YWG15KNhTtK2GTZ4q3IlDDuLNm6LqZkQSVl2yrNJlRk9Mrj
RiusQx/7FxXLtiGgeJIBWbTCzC1woDXcpUXlhom36QvJjhJ8EI2Wfp/EUXOS3r8vB6u6k2c2iUz6
8id39W295efje31TZ//6q5sKQiULK88c9ubwLZgeRnP78VP77PefLRyikLBH9uMROeM1NmW7VG4/
HuDdfoidyqsL0M/ev1RPYzGW/XGvyceQUDJukxiMzseDzHfh/KOin4UiX9IlzdTPXr3BqHvaqlwF
7BO5eWz6lD3JbTgYnzwN+e07PtOqNAySRE9S/GJrKp0NNEZh1vtTAdHDlh5Z1BY3ydJbCG5nh86d
ndl3G93pdg+n0Am+DO73xB0f+KLr9WeRZvJbbNa7z/rlD331XlhdaAGpZRpplt1CdER3uG5X6RXS
Und2Hy2lFfd5CTXRFu3AJeSkc9V99vjxbdf+9Fe8erjama6XzAvoJviM91+HjewaNv2Do2EfapLx
Fqs7zdnpi3Rl7YPlsM6utfUN7czVsGbes6dVbtn1gtLZwloAWllnq/oQ2HiH/cUXoof35PSstI21
yS8wOt6my+uP//QzE8X7D+tsBy3IdZgUQsh7aed2sayfimVxIy1KJ1p4i2ARuvhDt/nq+Lhz2w1d
wcGJtpFtbaM9SE/HczFx/fCcLx//VfI8+79/kX/PoecmoDDMu8rQ+auCDaAyZ1qnK+8mA1GEgd7W
bc+uHEzdK3NfruVvFNLcj8f/88f6z+/obLZhqhFGQL7DXpxy1+j7i0mIUQOI+SeL0jyrvL/Mf45z
NuuYoal03ZSMe/bUdtc/isO61x9GxS1F7AnF8uOr+vMc93u084qygNZH0cqo3Qfw9kfvVPhX/7UB
zs58ygBvQqfjso+1CzmiDmgZi49H+OTBvFD0Xn3uYCXNzBj50PJij3tjWcioYc1Pnspn9+lscqul
pIatGjX7YX4q5KNYQ+T8167j7AVr8wl/Sp2O+74bnFCHsD44U3r8eJBP3i7jbFbSPV8YKc6xGgy6
o1oQ2pPmoCitY4xQpHp536Eh/HjIPz4fDfEktjEF79fZkITXK2S/Ne1eRYwAk1wJKPKtPh7jj4/n
1RhnH02CRVMAmjTskSdTv79K00+qCp8NcDYlTnE6KFFednuRSZtiNMDAT27Ty/r40Yc/Lyiv3uMg
pOnjJbzHnA1s/Gfbbh1fckRwtgDSXf8AG/+TEJ0z3PSvif7316/PV/1qSIn6n9TIAWvUVwrDGbPq
pc/Ydv9d2k2bzj7iDuZf2JqLfsk2rwT71Ljzqn68L4/KllM7jBBowPY6c4LVZ3/eHxfy11uX8zcn
rHpR8vjopMO8kAt2vUrUTSY5drxSF3eZvcVxe/EsPnA4q27Hi97uP5m95Hl6+uihnD33Tqj1oCS+
et8susW0GCdoBLZ1kSxOIHN2yqpd3MtLz86o2C6rVbEyHeGTGfqzP+GcAiqgLFfBdDZ7BOY2ui84
3j+0Ja7ci/ZpWBduujNWwkp4hirmDKv4gOD86eOv6+Xg9cFdMM7ekxhGLSg+Xs1qSQ6WLdnhvKvb
xM5Ntxk2G9Rs9rSneX8nLvNFuixWxhHtxaJ1oUvYwbe/UkX/9tymzBvjd3/PPz937eygaAro6zgq
t/vSVVc66MLFsJyW0y68kOxHf+MtY8fcgA+0893gGLcugh0eUbOKl9fhYt4k/LU5+P+duKKJCqvQ
h637/7GkKvMY1o9/Mg7zw79a97KM1U6CmyDOyV0v0NzfrXvlH1DO8NO9ZEG96O5/te7hriC0VkXr
nz/1q3UPupckkrmk95PY/y8Zh99O75xdGJ7cVAKQ51+KN+DtRKgl5FZEXjUdpuauND27nZpPpvf5
N7x6ZTWR3yriR4DqAn1UnCNaXk+14Jn0YigU6VAPAp3wpZYAh9Z+dN361QM4/vyNr63yb6/EfDfO
2UYlF6QCgpgmHTTsYVIFQP/HxwOc9x/ejXA2K/sSkHhK4xJh64bdqbeG9QwxyrEEBEydCz7Dqbv7
gizE8Njkni2FTxGkGf8o51dNBlcNs1R5oWuAGGks++pVG10TmrcYrL9Chv52mpg9mh/e87NdgULi
Y0PqKvdCcT1Er2Vx13bg5yX10Huh7XlALsdnAy10yf+LrO2THd1LmvP5Q0enqukij38OGnv70DP4
Gk0nGuMBwy/1Osmqkl0M3I8WfqGCibFe2DGwZ7bVQBp725+kBGlpDzfd6WbSTDVLvuWCYjpa4LlP
2ZCclaRf5VTZ9p5YI/gTIul2UFKiwWOLprln0sqJIrei9VdAsZe7cik1I+nt4yqYDp0euuRYIX0S
7FafVtVgHVP56E3R0mu/1pg7/foG/Nul0iREjyFbA7AgI9QkjBjvIR0OxHSxdpMXlE11okenEpE7
CrlWaneGmLpztbL8WiOjGAVMnX1GF1W9iqLLaEhXXSbntyT82AVwHzeHR6rqCzXSMNfTf9BCX12o
YWkuRDNV3TxO7sFn2GkKasKibbWI/b/I6H/7ipytbO8+fPXscyGppo6aoZ4O4kpZe5tp19wpK3NT
HahT74jJcdAsLiwHuQvbsG3K8jbcC5t42azElU5yePRJu2L+eM7fmNfTxNkmUE2S1kjnVzaPN8g+
UI1UbMiWpfjJdHR2Dnj3EZ9NePhopiQIGEfI7ORm+FH6xJA5IFl175OP4Ey09HNGev0RnFW5LK6/
UqxQPgSKEx3jATIaJEe7r114Bf4BjfnHE9SfZkAoPXidTdDpVKXefnRU1QZyGBT50AONy6aHTvjk
DDX/gvNn9HqAs3uHVNXIOl+WDwSftvSOesGp6cF8fBWfDXI2y1qDpU/kZcgHq7uYym2j35As/fEQ
f1qSXl/H2fQ4slYDjdHkw9xyGgiLEPWTFZHRPPy8ln/37ugypMNV58/N/5p/82OOFDT0g+Z/v/3H
+uc/+0/54nvz/c0/IFUlHuCqfarG01NND+mXMX/+L/9v/+VfIQM3Y/H0H//z+480zPCZNFX42Mjs
Zl5G+GcAgco9+2B71HzPCJACqPHnn/y9NxJnDhRbA+0lauBNFDy4Ov4Vke+a8jO+7bescc57p78N
OcVA9qKR7PabUGD8AzIKgCHa4Li84Bj8a4iCd5VdkymJPwF+lWqyjzl7UQRTUOJqSPJDC+Nxuozk
Qov2cPJmdD9B70c4Gx18zETbawjZ2xkLi4XIreT0ppOwnadSuivl6j4Z821SZ6cwBXgqyDkdRu/S
1LRLVPTQVo1+5Sv4SPBZ7AKxvyOM7MkKSTXLOxnFf6znOMqmpZSq5PmwFLW0Z4khQPCUkLLV0JQY
4CssKqXLpAfWRaI6ej9ZIgo0JUw/+EC2cqw3sB0lAY2L2FmQ11PMKRQPBZE451mLYoRGuioNa6sn
KGxuFK8x2CmkfQR16SWao5pTOqI5r6N9ie7ofsZ4EOhhvER70DQg5sOgT7uwarOK8KAbHWmelS+W
Lqk3FgmX/fDQgqcB+57dGQXhxE3QAyOxOEGG+vfCA0hj9OVwFZlJv1TanLAyEbd6DYEXPqlbTnjU
AosV1MMCJnpfhGraNIZw6ozUybp+g2hugY1+N/Qa84c+2mahzyFBp7EOvxdCfsEqI9h5017SLYSJ
IhRrM0AvBTfs1LXCBgqTm3nl3vSLZ1mp7FTo11LYbHs9XfteuQPwt0/lYd/m1YM41ieLfDU50m9j
q8PTZ6w9yT/oAb3eMimuk2KCuhIukkJc9Vp9qhoTqU6PU0+9Sw0deqn53TJrVEk9NulUkVkXnjMp
d9WE8Ka+dXviNdVicqS8vvTC+ohl+x4F+sJozUUhSC4Sjf2UpwcTCiL6i31Wq+t6kO+mPr/ENWGr
abbnWTpF1C+tINhHGNYxRl5MirZsm2YbaQjZdfGbrEVL0l0vC6V58HMUb/Oj9w3rRq0gY6XSytSH
HR3sxm4tcd9i3RrLaF/p8lU59k4zCbdaoGySaH7CyCGKON3U9Hap6NqWVz5Zau10WXJnRMEtIXKn
JhCWXqHtFNVcYvXci1GX4Jgh80odHjr+CBwj0iLOJFKGpi2WDqcKmp1vEBAdkjM9BBvYjoRAjdVT
Zci0LodThaceJ2CnXRlahb2uD/YEE4DGkQmxSujMkxTOhjKUcwVmAU4tWxvKg6hru17ilWqJQU26
WkAB3xeLorZ+jD717gG/YqqQs+5fDSXRHEMBpzFJjAWt829NNPL6KfqiKEBllN24FBSPlMbksgdF
uyQo8Abyj6sIikFQWFMjDJhwKcew2ikqGI4QoDrGzIP5NZAuPVU9qRWcV8xtOO8HnjiE+mNUCKsa
22SBTn9NYIfgCLURLYlQv2yidkUSq6Oh5BV7AI68HTwtGTWA1dbH0qOhlqn1haygcQ3GmtiE8IAg
Y6eUMA+U3k31cl/I5Hr1ZfpYqCkPYxIWcGD7ReTBlg8b/UpLzE3eRAqpJJFiZzGnBW8C/yPAMclF
mHYyoY1oMYsd6kcAtoR8p3L+tTFUhDZy2jlCOu1bSbnE9vNDV+ACC6a89grEcAPeZzbs3Qln3ZcG
Jp5ATrUptMkyGbOC4Kj+kkLIyEGLGSAV0E5YBXB3ufSwSIUIR6J23OWl1Nu6Eh7iuLzt9BYDaTDc
+Dp86QBxdzYTNcz4AHtbIuoKwpFSRbC508yxwhkFpQn9bkL1chFoJK+/LHn/7sV/9ZTvwbfWbxf7
/5fXfpmN7N+v/ZdP2Y/8MfwTqWD+wd9Lv/wPkMmIkzAtQH2d465/l0VUzA7UTCxaqrCLLHaAf5VF
1JloBICNKFYdOZ0613V/lUUIidUos1NPkTi5/9oAHX/uX9k7/e3R6KwerRGxrUnGzLQk10Q3xXn8
1xWLOlfJeh6k9Bjtqk2zQQZ3ifjN1a6Ck+Zkbrj8vNYJ0e/d3lqb8xSJZwOQYIBieDuokTS+Sb61
cJAESGgNh2ZRnZ68PvDtWANq0CqUTqRoWY0+6DQxLKqTBZXgSjbmCBHUKZlx8n0rZcqVRmXR1lJF
dmFojI+awMlYD9Dmy/KorqISIAquhGnlz2joWrXUFf7VmTzZYw5twsHtCsFaVpL8NSti8dEvk9Qp
ZVSVeWAki56Vg5CyTrebnP9WMUrVRklbfSuKiMwHHyDRFHTats+MbRRVGIGJedOCVLbrVli1MgyD
Ac1zV1bkVVtz7J6MyFwYL0ef7m8KTCxAkb83MxE1bhX5rkV3BaMeMxLzgsLZfEDvZEKIHK3YNYkK
t2WvKtxJ6RfAH+tjhLnRzsYGjZKpjdeSdBeqyJdrupZh6QcLqP9X0dRkeCqky1EEcm/24YEp5bEO
8fmZiPvVBm+72WlsZ8xhWjUY7baZgShbU8JhE4+16NZaiQaw8rArmoOYc89M2eaxCAciBllefIs4
DFwFDX418voQ/3b5cDWZkbFimY6vhk48oPAN1lY8C8UFvKQ4RqZwiTA8g+OtZAmOsojEj8oLgHbK
Rma5w4BbozYN6ARREEykkmeFd41Kslh1ABxEl48p22RV161wroRbTxfMy1AlJNhuLA9SPD+cXUpl
611JbXCfBLgkgkz/7nMa4lyayCjZrPtYanzXa4pn0UpTMPT+LvGC1Daj8ZCIMVaLMX0OJm1RKn5z
wPYD4wfrkqNWZszKjYKJALlN1ZXGFkq45HTReB1EcwMhTVdqwP+xKtORBo1epTr2hG8hVe75Axq5
pThVdb2sXnZaIWxHhRxCZmflqGl1zN0WR19EUa4pbAkJ2C2ipNlVpSUuWl60Q5f3+rIqNYpsap4v
hBzbT9XLII6ndkWA87ekMxYo2yV8JOBHCAFVbECq0OVVzwT2kS6F1PpB0MpOj9KrvG1vPUG5rAsD
naMsFHvoGONG1sGh+/m0FjRkr2mjJah5PY/gzKdGGC7CxLhAvrobg9xy2fAQh4JMD+Mh18w+LUOV
ikeqEy40KdylAebdsNW8y8ws6kWqF8qyDfzrYBz8DZ7mTRXRCit5SGxSt0UfsnxGmEHk2Pzut9TL
Gj08DF2O+RNFry00XeqYEBAlPdkAD8MwWH1PgU/1eYzU1nzWjZCpJV1WZJ0VMUT4rs6XviyeCtb8
oIg2RqdegEGBGgEbKmg0NupDcmsm4oHTxq3eiSYvqZXrBw/aJWl/03NRSidtajfzlpTEJ1dvBgU4
4ADaIHYQHX8PdGWlV6grfZ9ER8081lgazFz+YcV8w2kyZxONJ1XAKAoN9hKYN8nCbFl5xmnU4q2U
0CGykehwZ9uJlz6S4H7Tz++jFEcbLAPHKR8OqYnCMKIBMuRrI80JnmD4RKMfmg0YJUcHV/wm89qF
YIIdm4TV1MZrQ4c8UURrvR6WgobjIZHDR92cATDFWmgtJw4w5xT5IStE083EfEXPkN1OS0mXMKmw
89cDORlpLuwgTUFVCr+XrWyPtK9LPhFZlR2kggvVAg7QACNLnnKk55heeSNF8At4tXugIqWxqCF+
cwLlJF8hTMMPqprXdaMv1Y4gWn84qYM1g6gweyUYUbH7rlKIiiAteQM9HO5oUU0rfR7LcM8MtxzL
xKlBQOgm4Uh+HWwUaVxjdfoqSg12bvNa14uvsLxPfkdRIQXLWDyVogj7bsDboITLUEf84sER8NWZ
He74SnCFCPoy75ST7KXPkgAHpRLZd4JdEMW1YHVrsxaWYpBcR/hEGzBtFX+p4ZGLoWvFrDy/qMV2
yae4ry1ziYV8q3gjA5YuJiTUjllN0CR1cVWVHwHzfOVXqeBalMVYqwXCTIIFjKB3xqz/Xmc1CUjC
BcSdzUSeVo6ByiYBE/E6i0RQQOsDeQG7RTdWcoPltc2+NeRajlDZILW6BXBLJ2+qNWLTDZt8BMma
tSKh/GtfiXd5FZ1oJqw8dcBn3nLvLJeW29poNN5OY9Vp3RU5gBfFRE6H0F4nobE2B+/gKdMGB8q2
86TLIOfok7XhMk2gMngiBn7sGr15FVXWTpGG+4LO3ViJLZJe89arYIhV9SGrtVM7+KJtSvV1S5RU
V+SZXU2tnWnJLtEAPcMu4+zsX1bzRDXlX8e4uZArbVUU7FKaHiEsPfR+3mhlF+yyb6ti3EpyfiHI
eJRxrXsP/hgm1zXGbGeSm20lwnwhfBVTOgtP9CPw9duoSTHqADu1gYDdU93HpIWjikTTOJR+6KmA
k6r8GlfBBmLUgfk2dMXZTEaAhDaBKaK5HjuTKN0HWl0sLSW+Scles8shXsWKdIxiDpixVRCm2CtL
2eTQHOtOLwupG+IX7OrKMfweIMEoL+IkQr5JgLCvryJv2A7Z+KMQClfAJ95UGsQTTlMpgjPq6IYL
69GtAoEgYnYIcdNSmGGRIPdp3QkmDSfcAKG48jtjGYqDm+WwbdM6Qlw2TMshzS7GBrVnQ4lfAw9R
NcDssfQ0hNJgJRe2mUwNQkQnSgWlkvJNIjSXk9Df11Xx2JqV60dA971kAF8NISAVWf5ebaP/2qe+
bnC9LUbN5WRNRcUvE7gNMV2amZ2vt6VFTFJOl9bhcaC/EGicYI6EW/KQ7rUQdfdBbuvFxyO+L8Ui
OhOxq0CgRvGpUGh7PWIcmhQJIyk8GuVVKeIsSzaG9/yvj4EjhtAnnCsyLaO3Y3iaIujkrEVHjAgc
SRcGXs4+uf14kD/dOsUQLfIqJIXMqbNBcpA+RhgO0bEq7jOdGhv7J7K/LO86ai9USAi9d/XxiO9r
8Yz1asSzhxVYLMiFNEZHka5nV9+RafVJe+FPD+f1CGenlICUwqGhLnDs9Jpt9+xkhn2Sr/8z10E5
VeRLpEt8duf0SdKNJhWjo1dy2JcuTLP55DreF+NJsMTNTMMCAxO5W29fgKKWQ2mshehosJWm8M/q
9S1UsUlF0SfX8qc79nqksyMWO+y8In0kOkraU2Bead51OT1+fLv+PAQlackyeKuNs8ceSnFnqpMf
H7PsoLUDRQ7Zllvd/niUP73OnE9/j3L26DFvBg18xfgYxo8JGBlFcCsVw2LrxM1RiFeJ9skzendZ
MIRBmKuEss0BwOpZO1e2PKNIjTw5kpleVt96nUrs6eNrevfBnA1BPeD1XENfiRsalMkRsBdQfXJt
6Y7+Z4aAkQ5BAbfUucsiGgbKSOzcjnXyKEwbvf9M8PfuVeYaTJWmka5xkJe1+Yz/SlXGNIZlLEO6
yLqRtpoTRJswYqGznj6+kHePQ9TwKcgsAzgKLSJi345Da7+q2jATDmK6DvHW5PFJCD7rw80v0dtm
3zwIvk4RIivZnOevspBSHlUl4TDgxO5XfXs/5M++skiZOD++nD+VPl6PdPY6514+SpPHSLK5D9TR
LgwAx9Mm179E7beQ1NWPh/vj3WNfxdqm0p49vzDZzMlNTXL/2Anfmvai9B+z5JNp4E9XRN2EsgnD
KOr5Uu1hTROtsQiOnYq2dEVKkZtATUn9VUiUptz8jL3624rVH67ozc5Aefs+dDDU5FFswmOY+QSv
laS6ror4k2t694GebT/mf//q5a5JBtJ0j0GiqrKbahdZweJffjBvLmO+zFcjQHGGDU0fklX6kjq8
E+c3nhH+HOS/q7Kzqfjvq7Lg+Zun983Y+Yd+V2Ql+qo6qBgEBDKNVT743xVZAjvxLhsUJpmFlVcJ
F1RkJcq01Mwg0Ogo2VirflVkrX+w0yJIjgmReWoOvzirwn5UlUXb9mZCmhUreMh0vqm5Tkpl9mxC
6oqh1jI/UBCSqaIz4YfvRxXeS6RQFNRLSF3UaapmvDMggyxqX32sFHNHdSFeaCLFnQjX36qpwIn0
OYktYkY8NRtBk3iIxVB3wCRIjVatKsdW0T6MVnYfhL47pskpJpSSguJWVuRTSZnTjsqxta1CrjkJ
yDtYshpeSeMWEj0gACsFX9J7kJijOw1SHyS5aXD0IT1ovnKQWDytMt8aSbmJtUnZTPgJHQqoptMF
wwqEsyubxTMhZae297Ut7vQVeoEHk/qgVU9fBmLN7FimnKqQsAHgMc0WSuE54pCjZS+CL73UfsNU
pzoUsddyywmyqOFgwHjks+1I5AO7v4/TcpvENGlYSp7LLpBsonEaZ0pMEgGrwun98gCstNgOKSdD
SHP+grJKDFqAyE9L9L19rRMMGlgtPKxSnZ5NucMUohqPU8jNLbw0uALnT7O2rp4CgsAuI9BnmoXi
zJMLBFlZbR7qcCBsw+h5au0sZPYb30Fu3tuRj/aqiyR9Fc7yKMpH2lodDP9K9BVpBd3Kt0s/pPaR
UflWeqrYYar4rjgm0VpRhsQVwlDGV55MECqw+eoDZRQxz2Fhe9JCGkYROXUdLolC8ZZqryTwfRuZ
hExspJkS7Qgzu5ia6EALcsNGa1qEqfmMUky3IwN9llCHlCXaMXJhvYyruPUTV4wC4ByqNNIAL61V
E+mg6/G6ryy5hrvoV8VCDKXwlMGKXLWFRkqVhIlVFD1v0XXEGdSKIlxBR1btdOJK4fVTHuLctDSJ
USQBujftMfc5+qaIz2N4xVswZegG5OBmlOsjjuzMDQTqc3lTPOQzeCMMdI1wPEvdFhZ6OdBjJBtN
8y0Crvitr7XoNkN7b9ccVtZjm1FXHPycGluGbhBsEJWUiZxz7jtdM6Fdmz1d4QCsZ0sDOvwRpyGU
esqRbuenGPPB0bRa4kJht+yeUiaEHMJB6eFQOVYJYBJwAsPtSBNH7yL9apLo8g+QGPo0dmvSyuFr
yMk+zim1gN54bhAwNVIXLJtCamkUJNVlKFFbVCgUJlWpb/SxJ5paMLoVckr1JAvtl9DKG5zbTUt4
QSAPEnLttnjs+asMPEuY2qOEePWgXFHIvYFZJREv7uuUQa1tRoK72/cj8P6uJbOvnrchE6zZxHfD
LBO2gkquvKLcdsjmHNICb9Iy2hpRduyN2hEE47LWvnmGfNHmekdZJnnqdWQIqkC1pJLmGIW237W1
ka0tC0ZlSNYtuHZxJzNaANy66wDvxSbJFBMWfNT/dmcZXyaTBOAwmjCX1umPmjwsFBnpJo/GK05T
gKvC1MmDTllkqUnedUg+wdAFRL+C4bO70CCXm/88q2UqaDVN/3HkEUplemgF/zoZvG9i3t4XKtOD
KRbdwoiri7CXvg+xrrt1DEuGArEPDFYisRBNY6xWLoGksm1MUmondXdJWP1dq2skFwrq0RoM085T
OhBIW/gvGzGiMwR5uWjyizYS1wnhsSTSestIzMtDaFFkjhJMucJgLZoB/LmHgU7rwoUXyPo9IYGp
5hK2e5lh38xVAziP9pUSMOm8KZ7banoYpK6ygUSuuehkGcgiVhFpWiS6safjsAosjMQy9JzYEmAI
5dJaKPX1CJgokudaejgTc9Id6BbF8cLkoTGttZEpe2AUK0EtQcMGoLhlJGIS/6x9D0wyfuqwfa5D
45iUfQNVYtw0AF7c1kho3cdX3lyP9YkjT5TxImiSqxQ4lhQGN5Si3EDP1kabIKBJw5sE2E5LN8HO
vNqAsDet8cHvQuC8Iu2aGtMqiuInr81Gm3VMGFe1KdfmMUTJ4Ph6dhJDjOwvW4L/3hvNTti/3xsd
k++PT9X7zdH8U783Ry+dZ1XTdd5mqiGvN0ezUo0NiUIQqgY0hMPALxW/9Q/ONQoFfjZCKv51furX
5oh2tURoOY1uSnkv+6Z/aXP09sTxsjkCUGACfUEaOZe5zvbOY9+pjWr0kN262IFOfpd348nIO4jz
ln9IpTJ6BE6aIVlWbpQGLnGnCARBG/0zAO6lzFHPnhRgH75ZumKWmHRiWdawmT9UPt2jIWGS6Nrs
pFqJvxKt3IOTgIYt5W0OCuOhVcJrvZvuAsKiHTlp6JgVqjPkATlXRgHWnSD11EDxoVjZckrka8Za
9A1Te9W3gClaZt7IbCPHm/TLJrZuVR3+Hc3EH1FtXqqVdyWqwyHw63VuzAoeGhdyIIpLFdOoHand
cZCN3J2PsbYhs4Wg9DsHcEC+Kx2lbIl0VGelC7hMiU740mrymnJ2Y7rtWCiuEnsrPX4BoKTEJhbq
DewxZELWolUUF3iQaJcVVdYwHTeTBNa3yVjufXH6olk/UkRrlTzMgdhbo2u+tiKI/iLiI1YVyIHt
iLZc74DVaMP4BNxz00nG0lAEurdi8MWXQAJZpuAkZlLaapWCVJkDsA060sSDEeHt59WXXNAe2na8
MPJ4JcRA8+iMlrW0ab34Sh5hfPuafjK5Q17Ici3k1bJPkn2lWic9FB/iYRJtTqTkj4jw3yyjv01l
9T4yrb1cGCi4ukxdFq1EMXkwLqTIvBESJXP0SfwSdqyZfRahGfNui6HaF8R9+FWMTztJnlQh+DZ0
wk2htLshGE7IeJaiLnxthegxsSjgaDBNnKrwDXtKchMWQvlsjOO12MIoLlXrkse066H3kIq58NRn
qQBSJHM5fTstCyOvUTmG13lAjy4ykTn5BshXwEBVln9TMv1eSWtETuPwXW1hzPKSU3fxs5hAoBy9
WvID/didVSnIuGSad4m+bfVxnevND1jlnMMDZQZRrHzCH23ShY5wIRrait2w4FQDeVkYo4UQ0KYe
FbNArhd/iRpu0kR6ElRpevpqKp8avXCtIqWfl1aWS+Ol2Hr0L/Zsvdms37PNV/jm7uFSQFoqxXXg
kyk5NeptXo7B1dhX1saLoQ3lRj2s1I4OuNj2qtOWEgbDNiBXRSietahvLLRqZUPmS+BFo9ukoLlv
u5ewJa0DS02nz4vV68xTYPMKvvIlVCOkhIQ1UReH6EN805Cp5DjNgU5mRIhnZq3GoifrCWfSgqJS
sg3ZC7gpHSwX2P193mkRhRg+tyTglc76RseLT6wC5z1HCMkIMK3h2iyIlsqD4DAE0w8EGDYiC3NB
2ttSZKfYQhyElAdUJtPNYEHPF0q1sR9UFQBQSJvIvAuJvApMiNsNIVh6A4GDUCxa/YuEkKwkbJeI
5DiaEJ+VFzVMMwK1VEIL9wkRW7GqX3N3pRXb3H0dEYBUtrcWoVwVsCLH9/qHWle/5LnyNRWNBKEI
Vv6EHWlZgr6kAPhFCwY8IROJiaYi7fs5CSwj4YLWb7ITCQnjf2X9n6t4ZaPdFwL7Wrmk3KrEzyMR
Y0VkfCnK8JJo1weUmZDNU+OgE0qmtxyD1DJQbKUE30lrSXBET3oQh+gEkGzHw4MfHE0QNGPjNu1A
aU4Jykd4OIFbQkDU5xAdwMuYHsnVQYPHXp5PzyBxpw7kTe0TwROSxRO1zAKytBXJ6PHaZodYiAba
HN+DoSawvS61bCVMEQ0bZoScEfazR/KPEEzNMrdK4ECtFdpFIe6zOSiomyODZLKDJt/7LozpjtjF
W2EOF+LYBM+fuKGxGPAx9P26qAkYAQ08U7DKRw7VECMrsXBIA7oNTf0iKIrHcCLYDYlBejNk0Fcz
+RY1Rep4BU8jMbwleVniwvQIWNX7jZEW3sLT23URsToUzaMlwyer04R3rU7bniQlSKoVXUtpJIAo
8TNX1a2aVnVTW9/ktG6Mn66U/94Rzck7f78jmjNRL7+T//R+UzT/4O9NEWUh2gHsiRCuidzqNxUj
TZZQ4hkW5eMXYPGvTZHxD0Nko4LODXfYzyCiX5si5PvUmRD4/ZusjTDPTLDIBh1MWTzbEoHzasuU
U+JBzI/V/2HvPHYrN9a1fSvnBmgwszg8KydJSzlMCKlbYmaRxcyr/x/Kbru7t+0N/2dqwIMGjCWu
QNYX3gSRAeO3/7Kw5PP9tCIHiqUfdPiEc4c3N2XfLSzd3kut1sODtbaTQ+w9aPqV71xDwjaCc99d
ktP33Y/wJwgwDMf/csX5HX13RXMQKsZWuL1KqMMwoEMC98ZampSPUNaYLkpx6BqnxEiKA7V2N24y
VusqwK2PitF4a1Yr7suAUnPvWhGWhxU27EZNNIAlopMjs4dCmCmZGjolMv3wB+1pxjOkAfjtSWpm
EmK5WWBtx/opEmuFqTElNw53NtYGNRSYjYNFDqHOsdwG48C2icNz4akWSt7Etg1XNSJCxbJs4xvR
dUesdeTCi7uTVgX8SglL8oBay2y1skc4xDhJBgEKHZhYOymNc8eJamIAV+htvEiT8CjpalpLu1ea
gYVM8dJN1nnwol3nTfXaILclbmxI9OJANNKwiFzZb7RS1Vvo0RdYhk23HtsptVDOHFkv5/R6F31i
wgpoV+Ea31xPn4LFNleDvMrQ4TWctJdFPrGSwil4lbdW9Zbq4uS6+JHZ+an04v2QknPrB3gnppfj
5D4amc+aTJszvy1ro6AZ2Y7+NdOks+4d+2Io7QNtz6pLy1MT9BAZxv1oxWed5hU1wioexlM/Dido
BnLVTLm+DJ3+WHf6I3yjtW0TBpATLeJkLMuCfITn2BbnIm22rSCudUoPukyJIoDqDy0ClLUaRLEg
E50KNWZrMmruq4Yw7ETTw42Zl8RRtn2zzQKzvhZESZ6Qr8CdECYU8q++1l/ZkbipW4V1IYnDiyjC
WajMD0EWn9tCu+076rnGzyLZxAniVLy8+eoRUoLTYXJthv3ab/OWTsJY4WWJCnK8blqJIRK6Xbe3
t73qNjrxs43LEGLoKynlLVlI5zyoqmXPpnbRZGl3M4zRjRsYe+aHlSjFk50WywH2/x1Ob+jtYvVR
MBqQfrclRIc5gC7c1u0l7d273ofHonVX7OvIZ/H8Pfkr7tKy4rWr9cT6heco7i5sJ9lVTr4ddGed
4S3HVulY1/AxHZyAp2bl1NolkDaMeW2PnPx6FGGzCAhnYukVbCrferBVzSykwZ5Ni34m8Yy7lG3U
XmXFpozxU7FG7ZDW011d9rBbs+YyVvI26fQV8RPc1gE6wVaYc/THa+KJC1llaHuSnlinWo24a/Y5
EcDEH3weM/8WPedvIZK7NntVf4KRzK/6VvGI+gYA1y3LMkE9sGv+o+IZBOdiso8F2GfS90xN/1bx
3F8ALMDPiQIHICY79481gPOLB/cdFf4M5hqubfwTjIQI3x/qgwNXx/fRn/EeCAIQmAf8WB+QKOlV
kcv2knEL69S4fVEjt1aaQjrUu5lzlj06RhAvRxlcxEr0Kwfe1lIV3RnC8J4gH7xGHJOJFJ9LYkeP
UZtcECvRE+AR3+p6+rXT2S9osoPEqHH7Bb15ISfSpgPdDZd5XV4Vg/7YT+6LWdtPfhUiwYLPvQky
dnO+RvIaK9F11UeIqwkN92jnFnGZPDiieClHed9FMCZkU2NJ67oPqmr2xVA8Nr72GBQs1FwPz574
okujE+zzl1oKEp2IvVKWw8AZinXOB+NJItXaNCU+LfI5HzE8thNr4s+O6bLK+h0J3fejiX9f2PQb
2+ZZNmfinN2DKaRQxSr46yvsm051k931xYSpRgj/PxU3pEN9rWr/TC1BYV5BFdfDpFkHfX8pyu6J
KLsvQSOfgwqNrCy+gGLxBKcqXLcs/nc1qThh6ZP6V+M2Hb5ARujWZSawTGX7wHZCfukN/yLVxmZF
lBCUQcQ7uFETRIXQEMKn4Z2aGvd9O8CtMVtNqAA2IxVNV/0h9P1daDo349R9MPq9o6a+s+JwCy/x
KQ9JkNI93iQ/kq8ryN69B59HTyqW/pV77WI6ScrdBxouuYKMvpWErC5bldSEeZmPdujc2M1I8nic
3tmh+cHistuP8fxyp203ttU+5UAENVmF8D1d1GXYtTOOJFtcbp9pHNINYv5L1EIEpKXsSiuDlDTd
1hbulG50D0wNJca2aiKyEKC5LdqSXw1QBudzx1195iBWk9i4cU3prstjHIBgzXbQJD/gBu/0042H
325foGyr7GpJEh8LmjTG6q4ZcPCZauxIW+44x0O1LCZu4rHmN8zNMlz3arqVoeKqhdiEQbcJ9PZ2
EtaBBECLfVJGtayAwMKMObBr0y+NHJ5EETcLzy3fdEOyxJUBM9EwkAsR00EobSm1aKezKVhpHpVJ
hz3sgjsZOmrzWtf8HcrHcWF14j1PqpMYIHGXdVKuWTzt3XAcWYl1xTrMiZGuHLoDsry4GwmBRKNX
tz4CKWWQGzyV0zkfXPNoE7i4ghnvh/vMnOMl07R/JDYR6rX6jJ/kayCK0mwgV67d2LE27mdYJfto
gitxf53IrIGzixuwyL0zKfXEXEIojs5WNYTPACnrOuMWWtiwZy9L8KWkcZEt9sNCR7gVeT689UrX
lqHvDNd6prEFqWJrPXidhZOzyKbVINy62reeHtAMxShNWHVbGaPdSEh1n11L6Q7VVk8s8yntdZ2p
mhAKzpksMlaD633Rw5YFYeqOCiugPpD+PMraTrUG7fPCO73xsvrZDLoQrz5rQqVY6bkbvKROHNkX
uolaBhxpaMtf+ST/lsvZE+JvZsS4TmHMtf85Is6v+1YwCZrnkMMbHgNOmFHzcvx3UoHFChzxzuw8
Y81utL8XTJu5Uoc2ACtUJ7uGUvZ7wYRvAKEA9hbaLBaWLDL+ScE0Pj3y/mA5zaMb2jMPygOzlstb
odZ/P1ARR4BtunLleVC6tyk6mxu8tHF1snvuaYXl3UiMdwsiR+Fx9KOe5QbxbrGX7jOhy6cY9vEF
RxeIjWVV0Elde0dOTX3Zp0H5tWzm+JCMcPMoI4vpE4NdlrTQFp2tNpxrcOerKsFjXNNd8l0COGV4
sRsc7UVQXKYUi69Ci27GIXOuQsPQDib68u0k3Py+EaPzjKJF3facwRdNHXl73KNltfBajQRHZ5QP
WJnTn1u1+U6mRPbk6FmxC52a+MYyqF87cA7o/YL4b+X3Wy/p1bGNuvK6T4p11hL8xWBXrrresLsr
eNV290WCfNpHg6zAkQQEmZI9OqE/fyf8LYkgb2VthaVMXagrLyrRV4fGECH+8ZlV+xZW3NRYpJZd
CvA49M+hzfaNcLNeeJhxdGRNrOg9svjoaoU2At5m41vSmRVxj72/IRNkeHb7zHodNc8hOnFwi00I
yH0YWevewuqYXjFrmT3NzVjHTZpA+Dg0/G1QduEbd1JM2No0vQZ1NL278fCktGpThPFBmxfNueF2
y95RKD/KnogHYbRA+2Q8HLGyGU+pHMqVg4c/nE4EHxnSjTDe1HljMax2eblAT/Noe3G2z3zj3kqr
aFdqFSIave8I0FWY0Ce1eytwrt83WuPfl3rlXg4+oYoIZn0dUpgD3anWUYp2mf+mUaYOyPvRV0Ac
SYShrVTTDdtO0+ph3WdV1ayGIC4x8ZH1fiyD4sY1RL13dFqvcDK81eR7yf0QpHiiJ3ZygU1g8gxf
AXb15I2nOp3k89QO2pGbN1xaXkEEcKiCJzIy+/siUdkaXJVZPR7Kc9SxUyx8C/VfYdsdUWi1bYAE
+1GzrgenXrEU6L1lSCjozuzMd9/tFnZmHbyht0itU4I2SbrGO2luJLDNE5Jf1qiXesye/x1ddKJj
dR1S5F+fxevsf1ZSvX79k33d/MJvhzEjisAcA8cHrDVgcX03vXBOG3D9OYbN2aRM/HEYW0SPzfs9
AsZAK3/W3DrYY0DdNoQO+gkq+g9ATMrBT9OLI/g7DC86oxATk8Gb+P4wrsJgcDSjq690Wz70xWhs
OgK9NMtnh5DU6qxNQbgrclc+OXaJS4ADYob7g4exOwyrWusK1tYws9KpUGzb7ce0Tj0aREFgCgz0
zTSnNucxMnwH4eaysVvJbszvgNLq/pQk023bFO7CGkR0cEvv3q+LfYhX+sZF1r/gzDmg0gjBFrw9
MtlHwlBnmlJ5q2Q0Llwt9neGDpvU7u4GSz/C1LnE7oDqEQbGQleJsRkdwBSOuVPWx9uxMqalnPxj
MmbPQWNidUNqZ9QD2HS4d4Ssn5aI/PQF9KU3V6XajpQirCoGZ9z4cnh3pfvOcJmsIPC0K4JoL/zB
esJoqjiULeYjlidezY5cW7I79rzNL36RX6WkdgCZzvYDrgSgSnBlZ3WKM0hApHDpvsLH2IQS3kIQ
AYo5+bubGeshRY8js3IL4PcVnv4N80q4031UTnmHoVnaT9MqIXFw3WoDRz/1LQ7NhzgQF50VkGBl
Gp8ZZ4R2lsgWkwKOOm4dltu85HR+GIyzqGtFfTVRd49CHx8EphjiPNR9eCqbAQuzTNhopyKwsGkG
xQKMxdhctfZSDnBa7CkbtnmM+qiKE39fztCalZr3MC8AN2bYzRTRAmK+9TzpnKn5wvfbu9bNwstm
RuymT/Au0tJd6ch1n+g3hpTsOAuBR0E81sRZxg9x75SQiMADLa1JVlaI7Kx0y2HlSCTRmibPIUrQ
hQukSPTenacZCTnS6mvbDjsd8NFuC77iMV8FyfBYOvFXz8pPgQaBu5iRy15hJOlp7as9o5qJbT1r
ZvailbTPBsDn6Nt4UgOFmnp4W80lawAk1Wa0dJ6MxiJdDWy4kQ2f3MC7MGaIFWOQ23wqPvQZfO1a
QSD0DMiWaegsOjBa8i2eHBNeENhthsfGCJbrgOk2YLuksuD8DuREhtelDvo7gAKPPUhSFZgPYQ5A
HKngLgAxxgqjZlYN7Y1VAien4MqopZ4DcGZ3BpwzBqfloLFm9UCjUZzf9ArLbIZXYl/DhfC6K3qM
G2sGsvMgvlYg267Aphd/uJB079btjyUIeDg2D2JGxAsHrqFzFYGUWyDmpR4TdVaPT0iKxTYJ2Umn
MQQajjnClSuNzcNMiAoGPPC6WD0pkHrLJ2zDMvcRID7pz4LvI7CWldXvyxnp54aFxqhlN3D93koL
VoA38wMmVyApTKw17B2BRhoWgTnzCZhFdtPMMEjKPNmT6bwcamMjZibCfOJySmHrkkJTkK1O6FnV
6JsWCkOoj+XC0KudzlfAmXRtjcRqt/4XZ2Y/lJ57b7r2hWVXCWldI5wwOOUrOR9xKiIYN9RvTegU
xMsDZs8MixpiKdumbJd3jFQzCyOc+Rgu91s7hbeGbr95M2MjNMVF2kXBNgw1bZPU2Q2ds4JUCdNj
NL03k/52bcwsEBt0e5x5IXkMBMBJuknhP6lmQjpVTcSSKOOumHklreHFX8pIu3RnzomsOSPi+LGP
uivlR7vcER/TIPt1UwQYo5Y6RM8KbXhcOyzFjXrKH3MYtOHFRCoAsuZuRq6dI43TnT+SQ6xyb+Zy
yBc8VPw1DboFbjo9AdeSydHVb26jVcupVSjisssoNK4sJ3gZ6vbDaEkfswp1yCZzjZyVtqZxrlvM
nFpfQ5uqK8nnr9YiG046di5QUXFWd7AYXMRTe2cNsP4C/ZDJ5CGBVYCBs5hJddMTneBFXY0PudNf
E9p35n7gSxja+zw1Licn0hfNTFHt9GLbel27mFO4Cmu8NNz6AAh8tPXhvkD7HtjO2Q3rVekDpgr+
MdiRR2SQOyxGx6bIuSzE4oSYi0LH2mVOdcWqYFdUxU4lDQZDec2x4zacRBZ7ECOwF65BqJuLnHua
hL7X0n5fJG5EsDZLdmjM5h7yYYyUOGnX0ipxwtZZLvTwbVFCxhvY08m/Xdmv+a4zpvjXXdn/5nRk
6j/n4/lV31oyE14ZJmfMdTbKTmdmiP0+H8PHh+nuOsLUYRnQLH3bJ8MdwxjW0mHeA0B+NmvfEFTx
i2l40Mo8pmNg2X82HkMo/Lkjw02FftGjJUTN4tg/ce5l6UypMwZ0ZJl1l8r61qydI5bI1+nAyg7O
WXRAr9znhr1LRtgyeZoGm6Bz4RQNbbDQq5JxdAShkaN2g6HJtIQsZix6u3HBUIzrRq/oDnz+VuHJ
aM1+zdj7oTIpdNmt8ohhnAopFoYcLrSKxIG8SCCn45+AxtfBK4z40XXWmRjLNj2p40V+57mec4Hv
WHFKTJ4X6ZoVxJiaLifztnY9lxt8IpZuBMF5UsVdVAhrBUYDv0fV+4rIMIxEQ9ivBjRXO3+fquhB
sc7CHMDZSUu71aaUwJKqvpimiT2BE76xwUgWldOOS8UJV6h9YpyM0PraRa8KAxA/BLlke9h3mANU
UwscCj+YQj1g4jbV5bock9d+kuViaGgWmv5gNBQ9X+cDEXi5r5U4M/ESR16stenUNsYBG5AXJ3H3
Uk9sahv8W6L5TipU0EPZQdoddU8OxlXq0reGerum7+YnsTxit8Kw3nvK1hektd6AxtnXvhZ9Gczi
ui5EewwyK1vGRmRszDnUsvY6Y2O5ql1jzoYFejoTtVIYLQrI04yj/djGNu10tEpEcTOkNfGhU2us
Kyv3lqIe6Yv9fFgjlUToXzXdbdjokG0N/zHUZLKQOJdUenKgT7+z/ekV4V+xBcFcNHpDcGXkr6SJ
sq3EfGBR2uWu1ztz6TbVgQECIpaqtj4OsMs0MAr9XNpNcSuCigvjHVqm8mqy1Zd4bn9NvDC5wV99
GcsFpjLFIUqNJ0XPrObmWYOhvop7633o2/cOhtqmnlvtqhbBzqP7znlEkXGYJIHHbrqJ6dFZVNTH
XOgHjFeeS7r4aW7nHRkRNaydqpHCXmMuiHstzb9MqXqqri+bZOLx6e6iMHirIk/sCosKlmj5bTAR
DzCY7WPFdJFWTbgTzBss4DJoY26+Ecwibujcq0iPgPgZU1LmFf5mf6qwJFgS6CvXTegyqM8DDkIq
dkD+/OMNFinzbuCuqA2PtUyI9J7alhm+KA61iSfpoEEUj0Z6qKzOYFoNtXwK9XnUAto9J64DoZ85
DPE9LU2bP4i5QoQNAS5zzahNkKZyriPBXFHqubaQnAVFaa438rPymO1en2tRJaK991md5jpVzRWL
YxGrHYoYvHogGsqa3VS7hDKXyAkntLnylZlm8KRRDTXdpC7OFdKnVDY2uziPf0DOPic47si6uzco
ro5qD5Ji69vqtpur71Tn20jDvazIgwlaqXHZUapj6bB3GqNzbrfXadg/iLmoU9zrwMa0ba73OYXf
7cyDTSMw1vVdIxjIqrlHQE/Cxpy2IaV98OY+Ih8FSmw1XATKuk4hSaxJbl57Znkw5y5kpB2xaUvY
SV3ZMrnUuvJcJV61FDQwAenWkOWnpyxCq2FXAjOQJH+p574nmDugxizvJLu3QSsxG2KPvWgCpE2s
+BJnF9tuYW3RIprrSA4H34nlv7K530o4dfWvS/gSuYl6/Z+lrJvXPynkPy66UXoaFro1tt0/7lZM
duBgvL+V5Jkm9UclB0w24Q6ZkJR+5Y5/q+TQpFisOFAgfq3y/j/ZrZizsO87rhKLbnoBajl/00Wk
NwPNP+xW/NybSCd0uiu20YwsS1VJ2trBsA8FQrVkmbBSHhMY096gnUQBGyVx8o751V1FhUZGcZPc
DWFzTMVw2+nDaQwoemXkEmbZi2kxxdPBj5uHnhgXL7f2TsweJQvkomKqhzDIPgVzviGv9vEEnScH
P+oDntjA84etsqwPEmQJH66rAhOtlH0NMWxrdh6sjAWxnEkilvYnhFxHz6PL81Bn9rhGQQKuqco7
2+VEs1uyih1WFVY5kRQFl9cOK+jHRfDIUnZFwDQVuq5XTty/uS3uWgHhnFjBfeEpZDB04ye3GpgJ
PHdvDQIGLgInTZpPbmhvhYcPZ4BhSSQAEa2aqEsXkLiTAsfNPAek7QCyu+EN/PktJ01al1G1cNLm
OWZNssxtzE/SYS8IHd8YQ69WqkOSgs3o11CHlDsYxVMpsVKElGXNwOm7G5hY5aTja1w6RBQ6MbmY
uFkuECyttUIYN2btqZUtgwg+LqeVrAd/2/fp0XCq7ln4HbMMLqWQPJNuObGZJozTk3grWjrGSMO0
FhEzSuhP5GoRW44RmhhWad6pjaAor4IMZ/uGBpOylUYI6qRajzpZ3YVex8dYl+RN+X1zazrd9EBD
xliqz5n3YIQXlCtvM/Vp+iwVRycyJPepq/P8plZGdY5cM94LQw2nysfepxszeTBBTFGI2XZyCnqw
ibUmYTspdAIL2E7B2yBiTax6R6v2halfp5C+1lHUl/f6yBe/DRB5v2jYj37YImvXOUYji74Z23Uq
xHLM6QBBVuf0oob7RpGVUZsXzQggSS5sxYapLqpnvca+RavaSxUV/S4ImmHjkVsIt0z6G8+BK2cP
5aXdmM2mgoCVeKpZV4Z/DAKUfmnGkFZYyE7dzi+Ih02NlTREjGhyJBmktaJyDX/Cs4oSJZWbXkhf
iCPCwe7Bz4XYuxLzzEjTg60miolNpvoYzEDb4U4FajrGvzrJ/ItY6hytf32Yb7P3oviTU5wX/T6O
Gb8AAtqz1NkGZpzX4L+PY+YvYJQ2/xkOlNKZmvntFGetDrEHTPK3FTn/69spjgJI4COJKsdH/zPj
i/9gQw4f6OdTHKYpq3b+phA2aqT5lP+O/1mMNeqWVvhXZg4BLHGMqeT0lGFxbWlFZGKWlNfBCysn
dc3pW7iHvIuL5US6p5v4J1X4cDvz9C1lT4RJ2KIzScwcbZtGrbSyIV+q2cRqIDS+7fzrVPQfyO3i
pafonFtzq6GFC+t4FTrA9GjkBFq5odR2Gto5RyHO9BJ5CpP+Op3ldW6jAIbcHezcnY47ISrSfolE
U2OdQYyfgfhk0lexCTGon+V7rT7uxlnQV2jGW4LCD1NdZ6+E91Si/ZtU/6VECyggKSAS4bM9+8wi
zSwZZGf7rkYx20XpRHwjK0xngeHEbmsgaGJpdsYO18tjN4sR+1mWmFqaWmNpUsDcQ/AEbVFf1XJ6
zNE0ilnciIW+idUkgkcT5WNkIye22nCjZlGkoUKItOgkYVccgRg6iISoowy0lDmaSorVbVTIq2EW
W2p54GzyWYCJ4HyPpMdbfDp7G1rurPQepFnO0s1yPvZbDbtFlPanEkpk7qSQ/EnYjczk65h3YqHP
YlAlA3bjtrGwwvGVOBLGCsP4aEztYKAk5dA7JbO0NJhFpt2n3HQWnuJ7k1CiEKMOqFIn1Km5VvRP
/J7HxnmZcvcCJ6kl1saoGpMDw8JtP8tcVZ8m9cow/Co6aWbRTuuCYPpwUWaZjFxagtSvyIUjMzur
ha0tnS7axkKoAUpw5V+YnhYdvFR2W2Y4ued7waHSns0qo0D4twECT2IpR2Nggy0nd9c5o71l+2pn
UHWGcGuMEudLr1DmySMe4lFIV+wYv/Wnz1Pg3+NwTqT46+Nw1+YIwb82/3kizq/7/US0fgHXg79q
gRxCeOTE+f1EtH/hLDTw59fpfOdd07cT0Yb1wd7KwZkV5FJ8Lq9+OxEhcOg6dHG64W/0/39wIv6M
GNrC/Ay7wJaUok5/++N52LSIeT3p9OdWP4Q0seONrLfffSl/QrrH5OiHQ5dPAS6K+ZHP5sh0BZ/3
x4sYrIWTJK3Ls9WTWwN1z5nNSCPLLKwzVmIVzz/MpfR6krGLg00UeU+cEGZ6LXRnXEb4dJl0OCVZ
GRJXz+EUB9kaz+r1hPEVgUvWchyzc4Btfia1/Vj7qJTlbaNjTzdGiKcq72aI610wwrKMyLSGd2as
HLs6QFS40kT6lo3pq4aPQFuWe/TUT0BjxnKKo6sQ13FhYtoWQb0wBvWhWm9bZnG/yjixtnFltxh0
G9micfpd1aEba+EMsJWorHrJx3sKXX2v+2zhcE0/VEPxntXo4gIkU8BY70HJRk7kJVs2fcD9oFab
MmtPBAf0K1HMu/Te5HD29LehLg6WreWY5xUkI4Tw2cx7NfB0m3HzmOZEMEZj/wWt1mG0VbGpkvKi
iIZ+5VeeRb8eOMtAqlsV4yjg2eyhwtG6QOkHhltb11nvh9S49klLLPpOb1hTv3EdMJsPxmsE1di+
L7xKngtpH71e2QAIVbzI0gpdoQ5nvmw41Yekxdu5NAFksAyHBTQ9GjnxP/ycC9lqN05PYkxuQgjN
MS/0RfqsVcomIqjc+wxHl1nT4zGupQdosywTDWyRDRGewuYL+Ykbn+knzntzaQ9VvfSJPwgmPDqC
ShQAOsZBiVatmg59o+d8ISabRL8RNo5nfxE1GVEiiT+g5XXL0BYTAfT+HfDwhx33S72K3+PK6ZdG
TSa6ySLOYHaRYX4mO+LNSBJ9qWziy6202GdxihSyazaos8CWLSYDNAz92tZ0f+kU7RlM5L4LWwwN
MnyvrUjhBxzdhkODAo1UVsQIIF82unPcutbTfDr7Irk1rW4JmoT3gN89phBQEBm7H0nivzhGKrGM
MC22UGmwgFSYXhQ5ZBKEHuWSc+U+HKtbVIkl+zjrKkQauIpkBAd/GF5QnnL39FW7hmTYLzxvek7d
4A4XWkobCRk2ViqbTun3aZjd1zFO0oNGy92FzUXuaR+NJp7xwwAOSaOlZ80J9cMnZ9CbXEl+hzWm
+9Lk7idlXFUBmrNu6U++Ud05YY9e0k25y/0svU/Rg++dCfdA1+rvqsqkBpXvOfu4OC1Rscnyq9HA
xwHchOfbiHiT9s2xVXHyaNsNZgQBbqzuw2zfvB2jMTnlrHpjTbtRbeLPnUZWwZXNkXZ0vThq3iBX
iuygZZ1h/Dtx/4ZWuR2kdWHXTk4vRuQhlhMlzybTIsmv0ntCPvmOp2W1gPqGiHgyMB4t8ZMZj7Sz
rwQpHrHzPJCB/hy2iHg4c25UYazZtt9Iw9r3hnaDNcTK1cIHgkKea+EwvuhYAYfz1vQ85tHFVDeb
qUVU7Y9f2w4CVOQlq7Ru0jWOB8uUNb5XK/Z1wtmosrv0UGOrClKzBTMA6Q0Ecp+NaiI0pDza1dio
hzzGvxuNyXvNKtGshketfnda7sTO9TaWjdXKMih6KK9+0NPEYvcPc1zvRu/BC2FCVZUyl0k4MPKL
sikvUwuRp7S122FiH9cVIXNuMqc9pNIuIfritbNtcABcioy+TFj5Q1rVG3CDp77PHupKe4YDYF3r
rTOdKXjVRmXVa2Ua+0hZX4dAXFUTC0VI5rPZBgySdDJWsLLxgk9QPeVTTlxGLsaLMI9u4zB8S+C3
L/u0zY5qGjGdhSrG58FM126i58LkV+yjO7Kdk5VvaYe2q59gq0+3RM7km0BjPwKjrMbEg9qz9FPO
gFbL8O9uy+lKa4R25ybWuBpHv1+Hij0mT3n9iN1uC5fXy3c8zWJVZaioXJL2OqPpt3CIsRXP5QhL
Gq/fLiuRDDdpzMMeO7ueFcmOXvbMzuKmtiOiMIxt0s0NqhawRLeAYlzjjlb7SRnDbegod+/b7ZP0
sd+xwyn4L55mNA/f7as+iy4cTzaWLrOO58yT3feTjpu1pSnMqj1LAV/ZgAJ35/KuHaaFxH78+xL/
YxcxX4tJzzUsFncMflCPfrwWop6hMfu6P4sARvFDNaJfevi/XWJ+C98NbhD2sqxvs/5c8mCC5iyi
7sUub/8/LoIARPforQxzhgy/v0gdsWJKir4/W+quIgFUY8e8//tL/OfPwlf13SV+AgQRahHtZw/9
GYfqvNpMeYNU/KrwXpPxv1xpJnv9wcz97Uf57krzO/nuG8uizsndhg9TYR1vFCR7mIc2v+i7dZfD
/J8Wf//B5jf+8+Xw6cA6A3WP78yT//eXa8IEg+zG6JmAngxU7J57F0bHMf931vh1j27QNf/1rLHP
y3cVv2Z/Mmvwum+zhsFA4UL7hqLyuWHhOfw2axgu0mCYiRwG1m+M8G/bFwYUC0vPGaieCeHzev3b
9sX8BdKrQ8Ipmxt23uIfOdDBWf/hHmE9bzk2m3rd4lSax46fzgkvqlQxwOq9GKyyNDYGsk/vovSw
X/vQp6lwaLXALanuVqx7E0YTaDAK2uWEE8y105vAjObOOOh3ygBlxJjM/BKyeFxKP3hVRnpLvk5+
HlOIy9XkmhvLQdPKIFVfSNf9iEoE/GnODtgoMC+L2tZae3Ws1g1C5EWXG85paut8rxVZQ7ufgkAt
BxdBRwKx97LUDYtq4p/giqRHWCXFCtXhuFEO3WxTpTDscrT7uW+oBZQ//9LuxgPSiZOQTXAk3Sfd
pJqPaRXLJaKdTBf7NagBm8H3opXVUIYrejzklV65qgYqYiXaYoXC5znj9C7doTigAb0z3Ein2bHl
qsBkHrHIqF2qxP3SFxT6Cm+XLVvwjylJXsjcgNFkd0a+7wMvOJUIRe/hyweYhUSkdVtsFKLkvQkn
85m2V7+eELJsOjfDKJ4kC7zO5g08gV3+EWqXsXZ7XTvY5aCfnLhotnFkYtqnWvekPO9aZGFySy+4
76PxTiuBBaVd2FtdyGvPzRNaEFWgViG0E3wN1/kUEoOtA4MPY6qdjKiFuTeqyHnuynCP4buVHptg
NJot1mjjHN+hlKuuIn67Dte++GI06NkXWojWFEcK/pK/hBPfXJXCr7CsYnPi7MtmNO80s81i4Ot0
Oqiu8K9iKGAVhhUCzS8QqBVc+cH/Y+9MliM3sm37K9feHDK0DmBwJxGIvmOX7CYwkslE6+j7r78L
lLLEzMpSmd5YGpWKIiMQAbgfP2fvtclMDaPE/dZpbnJETO5pgZxuGUhog/fx0P7TKdF4lP/z6nWA
m1r/Yunil/61dLm/0dKwXFPTwDLPrMt/LV1IfAwNL8scTEjHlkXl+8olAEfxj437ExoC2uo/V67Z
F4on1NZZCufY6L/VN7bnYunPzY3hHw4b/h6iIWANZDD/3MHwDayPhW2dib4wqi/4w1IisLJRal4Y
KnisHNqdETS3xGAM9eHCwo81+6iRIeHQqj7cWs2Hc2v8cHHJvMKZaHezt8uqEUTWtb+HpIjZNE/z
KbnOZfJQ9BJXAoigXm84ghnnUWSlZ2YkBkz2QMRcGb7mNp1EXc10jwUeEzQOsqEBm5jFCVFiyej1
Rn0bav7jzPoPDyheJsgwoQyG+yTN66WM2olMhiopco9EnEEs83ZsspOpjKDekMtGZuSjM037ldpk
0cLPuuJVj6fnAAohEy7pL7UiW9cDZ+lc4viOlS3wmoY4pOxVJS5skyIMZaQjv0SB8qafigxwAIEI
g2Hz8aSYQ/3Uv9NK51rm6sodu008XWuN+NJ39YNwgpWZQYT8h0vyRxnB4/GfH8TjS/L+i+eQ3/n+
HJK2btDBY4TjfGBHqC6+lxC68RvPJQ+UQdI5+y0/+v4gYt2mSYkQz+aH6scz+r2EcH5DRsfWjwKO
JwdI/d8Z4Bizqe3HJ3FeA3gaHZXrJVrspzKTzVMzsGhbl6RLg4MSyNK/HYYE2gRj0WTTg5lbjDP1
q+QMjoA03ZkVzR2rVawtCUX5To46RXAPjApjJPqioR0JerTn0bHUjo5Fs64HfrBI0DgpILhONmSr
xZCqayFRfXPgW7uT827F2Hi6sQ883zcnxg4hSIShP8RZulYcEN+RHrc3TVez9wziOSVFgyFq6K56
jSdCzbcTTYleD25KjVA+VTBNBeLZLTNZbZtJO7u1+2777XVkOJepdHac8W4jh0NvXj8qgVMcyLg6
lKG7q0Iz2mlu/0gA2hKv263UrS9B5AwLKrBwYSZGcavVwRM5FTsoXKtY9Z8Ml+hZgtgXY0esS9J0
/aYOI94zc3DDoBtVVYUNr8Q9lDPkJKl0xjTpuUxJ7yEl6FRK84VIyUuDNL7hg16Ag1tOeU/+gF/s
pZ3YS5mDIXUJ5Obw4Wo6U5spw+eg0x4tDM0z7HE/+cqjU80IL+JkwibetQFpJKVdT6wCLINONiwK
zRcQwPOt3pdPyUgCa66QJWdU0zoYwdMGRfhWM3QnFl2zvEwbN9hI9ilF1gbN2TkrCKbumzT0gD3e
F35orozqG243dSsS4a6oHqjIMEgTkvmNTCviklz3Us4uvCmiZ9LZ5Z1TOcpRcdMt1o/rFIAe0gCG
2V2+jJvCXlozL21Qg/F5zAjbDMyvtlUbaO9gT9CPeDKrYm8F5vOgTtclbQeqiqe+8CGmNOE3aLjj
Ou8TJNl1fJY2fAtkCIvK1Gr6Nf374BBOqWgWBUoRrGO9fRtDbO0G7mO7S95GjJ45IM/ZCBCJ+rXj
gHYcLIuCSc4DoIZmPIFz81iI6xdbOc6zIt+KmBt1DEDtRfORhSZZDTy0tLTYiL3Ewz9/4hOzqkXk
NwSJNtHa/QhY8+esNbaRcDsSvzbxMEDtIJEtURxU3PTXFmxVe8OIjSWORtBdQJcx2StY4wKM4HPO
m8HdBi1mDn9LtJF51pwIR78R1l1J4prjkBdnz8lxeYQ/fAx7vG9dt+4b+YbR7lJ2IHZZpE5Gi9QF
zNw1I93Aq9P4XIqCEA/tAVfceFtpSvKUwbZeYH+srwxKOW1OuXPQLUC7NpJVhqsO5iMb1ZyKZ4DK
BeJKUp7UIY7ac3qe1rfdWZrmCqwvDioi9hKi9hKXTmk7p++1KS1EPapfK4L5NKPQFx1RfZmA1UMi
wF5xDGuvzXl++UeyHy39Z31O+7MyWjJoF7CfzxtlNqcCztRowDokBU7NpL6Vmv4YS+mvXQix+Ot7
Z5NNA6tSgkk/l3MCIfDtTccgeqHp8/frC4np1j+UbrhJ+/4M2yxG6dvuY7e6xipPbLFirbUgPxBv
uMF226xyl4ipeKpOHOid5RAikTWclm9oSpdFTVR9HI5rmcnr0IpIR44hHuSOdXCClhB2MnkjK3lS
u2rTKvXtlHTdIk0xk4R9tcq05FS3FbPxFjJcZFd4SIutaGsCEPwQ8kveEsCLhlejw6mfnEHekSSU
Ht2wu8J8SkSXiU1B5pitArxHVtw8UPqse7M4tL7zPuS6Rt9Y7pukH1Z4ZDe2MH/vBf1Tqs+uwP9c
IZxevr5XL7+oEfit7zUCNkiwq5zlmUu68378qUZQf+OIb0INnWV5Hwz87zUCejwbuqpDs4EEkY/A
0u81AnyXuTaAvCoMjafib9UIpqAQ+bFGcEzOBJwHaIXQ1/gZdK9At6v1hiRp35Vre5Ry0UC+R6ha
nY0mfSgSBVNw44L/GPe2P8pNJoNTmrdbVdNAcnZQklzCRwzALrmdHga6C4vJjZmoQRbSFOU6i+CS
NjldbPit9+jTEAxErrsyo+JNa9EcNU57blrwz1r3JFLy3uKEmRqSAmLrn4WbekrXB/eV3qrbzE8O
gez9pe1bncfbztdtG53zCBNWoOlPLegkr4zM2SBv1l6vCGLdGv9b19fvRmoJki1VsXJydP2ygvWZ
hNdDkL1Man+vzBIVVwTdkkSuaZUo1t4SiuW1cLkYzeC5rO381bHit9CuzpIjGBNHLrFFsraqC+0K
iqkXk5aG7fgQQ7/dxBVS+TrSr6yYZKbMAFYZoXjunWZYpvSPNsIsOnQT/Ztfx/Uy1WbIWOik6ym0
OHWo8R3g2StOHOHCUGmy1EZqH5kH3tbS96TUkND31TpOSWxW3OkQpu4+bIZDkYfq0u5DRsdNtws0
7A5BzmrF6SBntmgpBFvXjufiRftSQ0Dfutj1GSXZMQVCY+zptsRrDEdfFWgE+wBcP052lV1Dxg50
K0dZFYFxFKW2K02nYNHy/etRyRi9MSlck5mpIlSGAxkokVhmuN2uc6Fs8nmSFNkIBMvnUS2mTR1A
xkyLUK6TgNyNojDXiC/Knel341ZkPlr2clrZdmbj6JNvjRvKpWbDm03hnq3SbBi8QfrPqd2jVCfD
g/HYSA4DYwqdoVgcZYOnTt0q8jXA2WSW7HW9vEl8+kc2RaYXDxY3ZMspVa1NY1vpo1wG7fTWVqqx
KGCeLFrFJOktyWDq+LlN9I3eedPonChDXM8ZxDuTJ8ZOrnaGVZotjYZb2TLjwQu6KF0XwUjsqCJu
s9B47uwE8xpGywVxqum2qQeGdEF/q2B22cGGewPXBIZWgiqhkqa6gMbilZCGfJWyrjRTc4uC58mN
9VciUTc2kXMrfahPilSwHCoOU7geIWBYEiRBQKrd28Q8ZrUrrqkoG3OvTfQMugU3b7QaqlESY/CO
Ev1hIMJ3Tb4nORIg/TkKDOsRXPOV3csnlJG1R6Yv9pMaa19pjfdDIJql8NmyBhi2Tg+LM8+bcZkk
OXKZltielKN5RAiET7g4vLZAHBAsAGlw8AyOVnY35f6lEsWxHdzaIy3iW9SUTHRDhJbOoXNoqzXA
f6dwoydyHyrhSY2pcnOkwlj8W3MnK/MGc3/nafzdNcHkB8dI+iW90h0jY30lEt44Fpi6Nw+qon4T
jb1G1jovTeYqh1a3z5XxRSfZdfHBBCqHpmd+3Il9BKHUGYLBb1FbNs1Dhpg3Xw9hYeIiUgClGSAl
7vNh6J8GXy/IwlDrriLdwLGegyS39lCk0uAK82ng7JpSMZ/9QOj+KSbebyNJS/da13/QQlOsrIH4
DXpxxBdwv2zNPOkwAVNG9Nx3Kwv98oK78Kk12+1EBxZEnNiGgnQEe7YW91GQLdzcv3am6TJkLRYK
idOJw91VKoLkS0tneyULFNFVQsRuG8Tfgsq+rgTHKKXHfRvVxRYRR7q0C/vGcJuvcuzuS4vUWJ5i
4g2q+8mFH12q05VrRoc2Ga0lxNYXbWAdz2dyA40WrdfSZdP49bZMlYh7zb+MiaovxwaxisJ4Y5EF
vZbsslyHX2dkL8DBSaHQCSu0RXSMkvhVd3pWg+F1sPV1VuJgmRyLHEyT5zDtCFhVkjuU31mX4/PC
nkL9M22iNtoonQOdxIrW3Rh/gyvJeKbZ+RnQWDuNVhrlOVKIDBJ5V1JFyx5PsjF4oc/qRz5BsM6M
wlmMI/ZnuPwr4Eof0KuN0anaUvZ5v0AffBPFlkvyg330i/Iqr9VoWfZ0m0Bn35WhfjZDDTF3oKyt
CuoeMcj3CVSXXJZnRfgZYfXiIXa6txjP/qYf0kNfDEQCDA0xmdODVZKwUESX0crlUm/EvvCRmLdx
sY7cObzTeUYmGG0MlVarUHLQfJy1MyMyltip8VSSCmnZt7YLLQrp0zsiYADcE4ut4TSHWOLE5lAp
+A+HNX3gvdmQ+9tGGJuiyt6hO2J95jSbdBP4segWzeVL2ZLBWfL/oejrcuU+mVHiKlLFqs0blptu
LbXgPYb5ZWFvyhV+6hfOt6aLvxa1dpB6uPmn9asyyVFnzdhf1ZOIin5RTvJL38vJj5YTvV8arHg8
OLJ+KidpOemIdbFI0SSgLfxny8n5DbcljSjAuS7qspkk+L2ctH8DqotmmHcnEPnyo7+hkKN/9HM5
SXsZJKGp056GpTTTmT5PNh18nUIo6nQxZHhfGtQ76ThmkBhKwpMmnGWlILw131mjsuwG9x6FAGfW
FhmKdMVd7GBAz5udjOMVage/9mxbctCOZvl9Ogvxc129DhRsjw0LIWihNFZedU43KOI1owsPNgzq
AXmRChohteNt3bDnyTZur1VOrl7eits+ERM2qBF8bspMJTO8IpySRTnkd+Oo3CNv+GJQEi1UnTUZ
2N1OKCPuf2ePbd0bw/qtmgwUGUA2A9ANRaxfsSzc611NOEHDk+U3yakrKvRtfvZtrLCvheBAMHkF
nl5Jg9p2uDSV9gJfE5pDZ7Qew6OvZS8nr1F9lpPBWQUq+bpUcto6wWPqAyI3x10/5MqSM/5BayET
Yj1ptfAwtfZS1UKbHkWImkzvDlVXPISq+6SYNoq5FHcY4IDGQoISTRzn4+lLU/XrrtWKswb/VRb5
N13VvK6Kbtx2rkgBRRSB3GlyvE/q9gB/8ZtaUZKqymgvdcPA4RZxgFWUpMF2k2zLWkFfFYqlMua6
5+skDVtF6Fz0sRiX01gmy66BuwEaBH8qMuo8Bt4t1VFZOUkyLbMBbz6ezbdwDPaZQVuq8ZFW14O2
hA/MimVs27a6+ClTMYNczROT0ZKgQyFauSESnQOFlcqdQZx1XVunZmC8aOS6vgyzjtQl/zVBTpKk
g4Jnh8IvG14CQboUf3OZpxgo8ln/FtJgCA3lRQULvKy6hrU1gWpAY5EJqXOiodutyEpp13obCogq
BhKurLoNMe+d9UbSKNCDjvkphJSpardhN+CsEKnJNmR7DtX6JlNgXJGpLM5t5LComjulrO9Vy9qq
rX7fd422DMJa9Zpa1870R+JjQWowM0WB/cRCguB3Mfk+A4EQqBv9zUiY4rkYDP0axSH1adJtXEyr
dFn3Mql9BO36C+Nti5bUGF2IQu1h2Jjr0ZHrtiGCnYSmFAJ89grSea130WMeIJZ30VgFgE8g14/p
xTSR1w3y99X9byQImqw2UCXwk3PInW3on9eIwiA1JIXZe0klTP2vluX1cvdp3bz6fdr0Ob54Xmb+
nEGh50BBy2mb7jxrJJLan6wLYxEMdRwJ85LUr21yNRZ3mXv8Z4/62KNmX/5f71FFXv+i6zH/3vdt
iq6HMU84DEcwqQQU+2mbYkKJtvv37Qux1Z+7FLhblZGm/QlP8OcuRauDLQ1BBnDbuVXyN3apDx35
p9uDEaUzb3kw9MgaNuc75Mc7MK6URLeBNl6kShvwFMJDex40NXR2VpVlwVVOpbyf2lI8i9Dsq62r
ZPS++4EE7mqy63s3NPNb142saYlTo8/XRmY3D7XRgvhb0oRYiTCm8xop94PO4jMEk0ngGKxzfRBX
jgOlA1tu26H6SceXPpheMEmSvTXciNqRK1+oGz2VEQso53YtEauhQ3BNFkEoYgQTNX3loOrqJUSX
l6SsQErR9MRZFwBL0/BtjJOTwvJw1mmGqUzJSMqyWndnBhWxOj3qUyluzM66kZHQvMSwv47+cJ6c
KvDwcL+UWXlbGPpz6NAQzn32iiyLgbvoEwkVkUsIWJeTAW5aN7Gwj51TP+oSvYbI0iO6UqB+CcdF
X3c8s56FC4ACFrIvoLBPyU1XFl9I8CtORtXl4BYo1qt5dFGhygbUMHe7UwYLjTGEywHq7DHLJePb
4tEQmCtrTS28Vq3ep7oa6S3PyO+63aZ1vFFdudU4ZRW2HXOQcZeoYQeUI/qaEpaJAERr3pTWL4PO
wcKc8b9MXNmLzM3vszD5Sjl97Zhon4v0TUvCO5Fj32ua2Dz6lr+jK38dFbOHybLDJZMxfxEg5gjm
qWyemjehEHek6dBpseyvIs8O02jcFKMDAl11OLlkNhiobkYQBMMhi7RlM5P6zDzbpJEyEHnfEv5G
nhpt+vtY1KkniAvBugkjvIDkYoG4UHqqAPiJa7O0u3M7N3PssXYa5h+7JhEY5aU1eFXSXk8de5ll
hOcMCS0geJW+1Nh+qcb41e96aytC7I+Wqa5xWj0I3Xm0/WCpU5CksPUXw/w21O5GGZ116U+XNIk4
0+tr17/iZs1R6rTH1E2uplE8R4L+QYY2dV0NGPpNjrk7tRgPjeC206z4mOs5m1/FG1ecB8Wmk4b4
P1pqpGMulWrWLidnq5AXw60OWCKuuppeRjOPjALbXCtG+YyNyAst/YskG28hcntfdOIyQk9g/6c0
cf110JUUj359x2zlVSjDqRLtu+7Lu7qxdyRwH+Mu0XZqaDOAT90aagLfgx/Lr6nW84hNAYKEIaXF
nokLFz+TAsPHsmLGqanyovvaVcm2WbrJq6L4S2fGJ9ohnXhpyKtZocjRjLJTNtkD/uSKxik+UoVQ
q4OCqnRphWikwVWLpS3lS+/7yaoZ02ut9h8h8o9LA/fcAmb11nWmY5o1p1ZL6MaYT72QL1ST+8ni
RXv9Oi4iL/Vd8vuaC77XjWmYW6NAKIXB49RS2y8y08nWI2BeUycilIWWlku4d9vGOERaBXEDVXy9
HzoNqMGUQaufec+uWzZbQpgeWplB78glKCioZvW6TNVmQ8sKVVOW514xmPrVMJp7RlvaOeTBWvKd
W4gxqUysruLLaezhYSqz4AaTWHoAA2ltGj4C+JFKutWYCC3QsdlkQ9Y+GJdONOG2UQzSjfSQlx7R
jK2VGGrCP9v079s0R6+/2Kbzr/nbvx8ldX7p0x7tzlZRtuj5YGrxo3+pF7BUkTJiAAuiQvzQCv0x
mcBsRWFlQniZw1SMefv+Y4/mJ+zRSJoNlD8fFKG/s0fPAokft+gZyYgLjFgXNJCor3/cosu8pHER
xuEVeWoWJqGkp7Fh2RcNDgwLSqD4Cl36Iu8FoYxY8F1a7TZBDmMD2GbtqFJrbnuhBe633qm3lZIZ
/kuRyFgleDNLlQMXjYhIC+NRWwWYN4MrMh0iyd1vhmRDaC3W1wEOyJSSFVq7PhN/etFzSuUoaIPy
VLkOYYkjqR4MlSMQrGTL4nxKYwv/y2BX1rYMKheSFuaNhSj7tLpABGNY3hrwS1cBQF/avY6gTd0A
tbUovf/povyu25llbX9162fNe/U+/uLu5/e+3/0I5ehekDBNagZtE/Ozho57HEozuvbf8xe5Nb/P
5cRvLvnTzOZAk366940PBZ1rI/mhOP3Q3f2N+hQd0M83Px24WXnsGLO+iIfqx5tfFqmZj5ojztKY
unUBXRTigf1kI/DK7faBpuGXZLoGS7mhbbfSkYO1TfDFn/Vh41yTFEjGSqRjbH7IyIw++SJnXZk2
K8xGpGaiYZTPSXEHQHCrBhm9hjZfW1qFtmRWqtEPeFZm7Zo2q9iMWc8Wz8q2CYlbHyGO8INqn/Uh
CEIjfJBWfsxG92lSyAErnGrZR+XLGCfXkOFfKqE9Dt04g5SGEx3DfDniz/WKMj60Lb0fS+bdAzyI
54ie6CFDw7LSekQmahF/wc/yrBIIsTNlsPNrJV8LB/RhqT9DeDi7OPJGYd+61SaZ1FXpQsYnuu5L
G0ZPIBzAN+UPdaUEe6A4nlubS5l1Zw3iKAfJ8zBG57nqKsdqnkeGX3P21aDJGFaI/uzOBUYe6TsT
YB+qg3DMl7p+G5Snyl4XTfJU6sh9eYubusaBRunmpSb6gMaqoDbFuvPFN/1FbtX1thNuNrM8NrGv
HIXM+23eYK3zo3bV5/ENaOIjrflpbTJnnE3R2xIbbaWg3W50AujCSt1UYsKL0rVXI5GxaszkUfW7
jFhr472JInOfZrxeykjJCua8xepVncbIq1VxDPHv5XX8MgjfnaddR5xZF6w4Z0kSk4gt0uiwiPVB
OKHq8mxrYvprzpnHKuOibC5dgiknTrzvkBAkJqubjYAcrYlEp4CDc4xca9FIJgWN/WIVyo6hX7Nu
a33p0yxCWjxe97aolzaBy6I00ODEpCWU8U2mydgL+eaUwvhi0XQvMeqtVFs4x1LRoJ3npyLGlSeH
+7CuX4vSoWHRkwkxCcEUMwbNP1b04JO42XUjmQJdmTy0ERvD5KC8iEJ57TPXwyk4bNkJ8nUVMGGj
Zu1xaO0MiAGMeZxvfB/k/BUXswo5wKhwAlJ1KUMgn52jk+xh3MZT9pxq0aHReqJHGGZMTbZnInZU
kcfpkpyhVC12Tue8xnWwc8OAqa5OBKdT3/V1dFu0CuAnsVMz8kEq8x1p/S5BmUOB+JzV6ReRwGJN
p/5oGtXBaPNT29FUK5LhOpXdBub20WwFkw/y79x8p1XmGn0SG0u4D0wVPO9oHIq0P/S1eqUCRF+3
U+X5QfPY20jRanNaRxU67xa5+zjZ+8rVb6yoOCRRR4QWYM8xle0u7vSLqVanoLAvWdG91RFaJyfQ
b+u8fghIJ8dTcCIz3QuD8SZTUw41PPRJSn5iHz0Eib2xAtLOReTsmPFtRNfPKpbmZGSwaBzbuCZ9
ZIcV41oqHecmtVyGbbVDfvWoDv2cQJymZDO1N3AZwLDQRJtsWLckgT2yyRJhDEKWiBJ9mBTyibKT
kYrnyQE/owD4dPt1GnVPGS232lK/TTU5RwQ0rCbq6whEBkOhSclAz0XMKVOnT3WIMxZr32AYpGzL
aVWJ9OAG7ZHDyw4tMGhdzT1gq76YXXrwg5GA+Dw49T5D58jNXjvQmwQPpmdcrJsyd8+gz+I5mGIt
S1VbRZZ2H2nkk2rmg5EoNFjj22n+CumHvBboqmDaMwbrD1qgPAxqd8EmdlYT5lNi9jCO/Yuu0J2O
igB1XYm5oeG7qDRrnbVBtCkd+VwYxml0ZbNoomqb5PEmgXLs1UK7t4W6LwmsCkMG0bVy3XG6X+rm
HV5aQium1zi1byerCY6ZVRY7NfBvCpmdlLlV7pfpypysZ60QG1v3F6bBOZHIDRM11aBvEzzYuh68
JyOqDDvL1cMI1Z1Ojr7WNCCGamRs7BL9ETdFQY/DoUkRqNtato91H92W2XQc2+DOr+ptpkwBujfn
PgNKzTXfoUx8aMjA2Q3mFUnzXqx2Sz0WcFnlsLHM/NI3wV2kTrXniG6rpNOmmZxdVRPqnmrbKnD5
aLQL7uhsEQK5BXt4i1TbWamEqnkOUIlFpyG3M8SpTtnvV2kN6HjV9mV0b8moYfEX9kHPSEKVTtqt
w1IsZDnZi8jpeDqnI1wmsIIVlwRlb1sN48YOMveK0zY4arJsV5PC0Vfv8HgHHcfeDhACRO0VkLR4
zQ5jLUI6W16hp6DvAk6fzRbYdeQNKT3mvHO7fQwLhWP6+C2DCWnxFC8S+MpLIybzjOQAZ2Wl6UOX
Bzr6UFF5dsgxTwtrW1kQJAZFRQbHHojjJWOk/RhrNo0La6qUdev05AOSKLRPnQnVXp+aiHA6BqS4
6CZSHzTl2BvVviuiK7Jb1uYQw4+b7lEJ3wQlfvCSaCYoQqSKIXSDGv3o91a8nCNdKg3LaJcMm9bk
QGs0zWsXt9hxnCfTN05dP7LJRKTVdevGJ1PWqMlJI2PVscMXVtZ7lO5bvw8vqjW8+7FxYICNLDaM
VtxIWJEVfAGTdbAjeSIo3VgKW6KsSVD8yT2p0OVcdTueqPxLrFpemuQ35BRFzHqnHUblozVEW60i
XDopdtLtF1auJh6MYaapsXHt9vK2YdxEmProySy7y9I+W0olOahRv1NV5YTtYkkptNGHcgf2jgjk
cBfY5QF1zIMwjUNKYCnoGqaozjpxijc/nlZxElwPPpXCaBWryQ9XFV0sq2zeZegelSxb1tx0A9bo
1k3fkHcFi9rNdrka3VR6vEKNvXRxHKGqZtQ/qLf1zCJrMkVZjuQJjXawgkgD6pQG3TwaaYkhbWJt
K1v9sXNoLcbasLbQ+hqcsiktykWUQasf0+QxNdol03I0iJW+chOONG2Q7hRCsFzX3xjOdAXkksyu
Rrsbe/iNcfGQa0L1DImpSemir36Vw3uM+3bVhMa5t9SzHxgIdBuxikgQgvO1id1o50aquw4CH+zN
9F6M1rkpMLuzvjdHoXOzBHlvIX0i0idEfbzyR+Fcci3fZyZc4JRTUNio18R1HVMA7HOi8LoGTIX8
NqRDSFDFNhzFk9XH463LSgN8ZzgOgwNMs88fBmu6Jiz3Sddjn6i78lEFPbdQRbtO6i5dZjVX7fja
1p2XHuJuF10OJTqo4IRbRXIqQGongYLTWa8OhRaUni7qAeOXxOQ01JSIJT0V/m3EIKJ15W0QDcUm
nbCK2Wi8x6Y9TtW8a1vm46DxoMUqkbrV4AIvH82zlkRn+lxLMzbhUYZTfUTQPI9VjAfiR4J9D4nb
rdMnUDXmdn7cBXPMhZuxmydVZzw5IR3AwrzW+iE6ukaGdaXYBYV6pyMEmXILdnTfbgI191SZHMtA
BQFtIgW15LfWAehpwrYLDOcuaSB8Iq9JOkGdiRQU2d/jqJU37oA4OCvsc6wFyKpjEN/miD4/vi9T
98kcjBtYvfnBMghqaRmdrfXGfMKBvnNrTVkyy8s2WccfVkptnWsRPdjM7LZxSh+szgp2x8CUqnE7
aLHOMaKqFBMA9mjqkFQNoax0LfJhe3868f33+Q/DHxfuoG7PGCzXYHj44wGKSBZ10PUsIrqUSWF2
qqdh4f6hev2Pc6yfXLx/vIjQEFUaBrTD+RT3yTSc+ENl4J2PLuq4U7KTqoSMae+a/u6vr4WT6KdO
CJOK+VpsmjQmAUKzRPPHl/FV1eUUoFK469/6/Iti/A5o+4+X8aNL5N///k+flSkSLVRYii6m3BAf
mdDNtT2TTvB7Gnt/fSm/eKmZCYkOAU23bbk/XUrqkGIPfDi5qPGW8WsD9R7hprlkG0PJ9tevNb/t
TyPA+WOjfcXwjxkgd4HK2f/zt6NqkexskaaXAucUHEbOLY3HmjR2679+oV9d1OcX+umiMpsYu9b5
/YUMtFCQdcM16/C8lRX/5bv6xb3ww0X99F3V7kiQhpDpJetZFLaOz5zuX52SXzw3v/r7wMG5m7mp
LYTJP35ogU3YkmGV8kKqgrSurD+Gpn/nXrP57ukemrMk2p27fp8eGUScONpI/blU1Bvjkm6/Zl13
1SIvPEQVf30t8xf88w1A+xCxFDsxAmtmkJ9fy7BIJ2GTzy61QSLkSzesLP/tr1/iVx/Xp5f4+eOa
aou6zFKzS+a8xP6Tqfx/fB2zioaGK4oeku5/vIS4TK3GBIZ2IWaEZizDhf+2UP7i5gXxh/pcs7Ht
0Bv68RVgowGcia0MuzD1wirKYSOt7HKRU//c/PWH9YvvY/a9CUxR3GG85o8vlSkZxxahAcq2X3r7
3KLsVJvbj9f4x4gw31r/epC9l+blf95xEjXj+UW+/+//u0pb+VL/e8Nz/q1PDU/yWvns8RYCLviB
Nkm7n46nTSOUB+VDHva93a9CE545viZNyj+wa99n8vgYWWEtcMIa6/ncDv0bPU+6q3z9fz6urM+0
TvE08C4YSDBI+GnpMYHV0qMftYuV9k2yRWEEwN4pk1MM0sic6msnnB58hC162aSbPnAflDnaVIY+
FX6wcf0U0FEyfKmaAqVpXl2T64EiRsUEQ+UvBzC7tTe1+GOUpzyAChaA1w0uGiTXU44ifims0fVs
jUohqekT4TL8mpouBV5LypvpO0+MFxg4E8ezNvvmacrlFthU4BlWdxX1jbEqkfjwc/UwdYR9IpQ6
mezmi9Ym6FxpoQJV6ntU1N/6SSdojwNS3kKLqvThVjoDSTYDU79ReagmVDdwhYDcCwd8Ovk2YhwP
CkwHoaEAHcgDXwx+TL9O8B/69TfLJ5qom1CmdZqn6YiwkLbiPvYx9Mmwwp+XG29q8miNV2EtJljx
YHyRNYDpDD3fBp3ZG/1ogjNWOYqiWDco4phScMw2GvdFixDlr6KhogrPuhCBWpZsEWKVRCgQd0PH
sFip6AQWVCpzWYmFAVRuQputq1B2/R9757EdyZEl0V+ZM/vg8RAeYjGbVJECCY2C2MQBCkBorePr
5zrYZFd1s9mHe25akIUCKisz/Pkzs2sxcu4cjt0N+0T8dkvW3AwQfny8ZjXAtoyXCkVw1TbUBEQ1
Vu+8SA0u4fZTuVDOMPYp0LDGcmHiE7XoVCHT5GELCLxAskIY5xvem9TF9AlV1uOwjkqbYhrm8xWF
nfE5kCLZjF7fHqMQ5NnUhDNSada3mxopaaVFZuDraf9peKXr11HdU6ANjp62orcBADsF8F69HYYM
R1hN3jVmDb0HN/hBqyBxdGzBW5Zm4Ds96wAzGqu5TLJr1wzptGkVOF+b462HK8OnpI5Q59BK343q
j3yiLFDOGYJTo2XXzlKGR145xCSgxK8uSfWVMcdiHwiL1wYzO0WD2KJNOJjNhiBEyttJK96quQhX
JQL9qpUtjgVXa06jU440EvaN70Ws6CsV1Ks6O9vyl2dh55dU9jrWypqjT12zTL/FihfRpJCzpPYq
+m/IJb2JHF8dbUMRuYSYMsmcO0tdWQMxUAhe/JQF0Pyiz974zIXHJjGwpi+kH7dR4rKNn0x32nmD
bJLPDI/n3kXnuylpniKe4bTwKhbBwrOK142Y7iHuh+ycM7kqTC9lP19/w8IRrsUSgPuD+bRtI0yd
Q/ushfVjVhaY4QBCbyOa2AD0lMQ6BQw+Z06+6UV5ndRt/DJ7LHGMKIxYPblUCwEOrBYiwgX7O2kj
6pWFUx8g5X1E2fDSi2A3hi6mE0/7HJMOm0ARPyNOH9nrP00wT3yz1ex1ljfqIeKdeSkOPRiMks+p
1vO+6HL3nkT3da1HxwqD9qpoyktHWN8N23scMo1IZTNdd0vjHtym2ZdLe9cu3kMd2cFWdAT/6h7S
XTLHxEjj2TepPVjjVbRITRWnMaQ2241uQ3yYdBDgBOkzsz7Rv/g6JQltXoWxpwDhmDrBlWuOZw2q
7mZGoeSTQhKj4M22wu5XrCx2sm+UZxQvdtol+9Ac2JtYZDCn2rOONlDOlWWXijqZv3mt5JklABXa
Zn1N0cSdTQGEn4AUOYYs3VZTGVbbdB5dfiStAzTV2btq4pkUlGN4kzNjrlo+Lje9+vAsAmgk1+Rk
31Uy2iZkwHzRVvFtRnpn4xosLnnC9H6bgLjWJHzxytLn7ZJELh9tFmoicGZfBdC3ATVZLHRya+st
CS1jjfxs53DZpNZyYEN5JdhZ52ZyIfsp35qjMIgtmdnWFFWwSy1Fs3Gk8DOqTzcWxQp7w57kJqlY
VEWkpAP2x75hKm8RdRD7KOdTa4xjucoKE5dDlCmvAk8pgZ0IuBl/UtkMUjk+Q0z8uu3TsRatkhxX
aR1iPQJBCBYQcfjX8fbvUcdkBv3Po87da/E/qw+wo39QP6m+8odxh/slQ4tjePgl1E3jB3cDVnci
2ui1Ht5Epvof9F2VrBS/jzS/uRtMkFBcwzlJbG4UcGj/mgPR+fl2qiAphtRJcUocFl/J0J+H4baf
pRxSV7t0JJUyGZ2JMa0tRWazilF6VUq8XVMKVoKUBfmJDLpSt0ZkrlHpXRnC16IUsEppYSjZJXBQ
9LFaKWX0lr+NSGfEa14qUZ/n3jwsSlurlMpmIbcFyG4h8luudLiwy24npcxJJDobqY57c7sOTHHj
KRVvdNnhNknzKCbnc7LsaZeMFeQE6AR6DjI2XfA0aM4CCr9+svqq38R6RWhHG3dJWKFhlBoBH0yB
sG39MYXmyJIYdaon4rUAXtpIoEKrhd2ytoH2+lJlgzbfcJK7w47OiDFnT9525X1fJ6LCV6ZbrEHJ
j5fl6O0qvVHs6ZnWXoETvp7N7SCx5qdact0nc8ciLYOvgB+yF8l75zgfHKg0QZDbWpndZTY8GDAt
aT0BisSQwM5zLu+cSU9Xem68JKgFPEJZnbKHxX9YDic7aNtjLYo3JOCkIYAQAWIhmAM8y84t46ZO
Q4pfeMJsxpkEU0QG3mH2w3wlNpOwngraRjlQy6uKiroLQd/jWnO8beF4V2ZYHYqsvGz11s9RJDPP
OVI89cTcrkOWNOdDSTSzLyxx0HtM7hF/bpbv0LACmP4rkUH35ed5pNwiPg4xW+OKl2/l6jAzUaDz
Ky5795lSOfIKKiU+h5P1JYF0Sg1Jv4SR5ksk0UeXcrz5RrQEI4QNzTRRmkpTibsQkSVQasvSmFc1
8ouGQFQjx8jEOeBA8NMB+7vSawaEm87NrwC1sks3FCcdBCw1H+2Irp3IHlk/eZRoQLRx0SbhfsuV
OOShEk2oRRWqUYN61KAiASHeQ5ptVD17hZKM1LSgOU0DgTahZKgJPcpWwhR/5SBH++Qj4egclHil
zaHcmkrQIo/H+MlJjtJFEmMLIDNYdX12XtDCciWKzUoeMzXrLu7Ht0Jrt3l73/S6vvZq7yZEV6s4
pooKPBZ6m/CSkd4gPAAocfGcMKow8lNk/pIrsU5zOA2VfGei40GkwPaopL0ajc8LKGgU+YiavVyO
qID4Oh8NVMGy1WChTsxI8s2sBC4IpR+GkWqsfKyb8SJCX8yU0CiMeVcr6TFGZQzQIpO8IFjAcBMp
lVLJleYYXHhKwDRRMrOMX4ayOSqJc2zyA2CCC5qdTvzKBWUCORS0dYchSWmkbHHntf2lnEbs1jA0
2uFzgq5ayIQ6SKW0au0eGfm5RYEdvWGLNcFPTPelQ6HNe/DstDJtTL0nJGii0lVPsxJ1jRzHx2jZ
Fy56r6vXRNmUBNw05lOMJjy2zTpTInHpWjcmqjE+nBtDycjzMpylEpYnFOagYIjyKM+O0J5jN31M
jPQiFO2DU1QCA5a47VCrjSo7R0wCqeiBPlvwnPm7yNG3rZyPGnp3jO49KQE8nHU4n2jimVGDhDBu
eZMcSyWaR6jnbSB2g5LT+354ot6DnC2r+QHFvUR5J8Zw0pgsVvWoHSy0eYFG35FjztHsR0pbvCW9
oI4RK+Ry0ylx38lrGBLNaap4y7p5TT1N9kDQ9yXFjmrV8tDhE2gtIMX4BnQz+jbgI5D4CWiXzxhd
g90gERJwHKQ4D3RlQVjwIgBcvQBFRcEOJoUWt0JUpqcY98KEi8HLQtgeBH/1sqZOBKeDNcS7AucD
9ptTjBPi7zXMl+lSIZb+fDa56OP2f67eSNH+0YDCl/82oBCRYDahzNozhOtRsPHTgEJptgBnTyxP
LWT+OaBgNPP4Gpd/AWAFBNzv/kvT+sXFmUk5CDmJr8btv7KP+XmzqRISuM/4D8vg9+MT/i+L2gai
RUt8JwSTzfXTOMVW9F/WsyyUf9r4KOHBJa5I7tDlGU0bt9pN/rAMzmm99apsni7xkByKqPd2aDZJ
s3PyCeglly7IMnPrL6p92dYqDnq9c+WdgVEMW3nn2Wencbz2UIRBfe4bcvDrvDft+qwSiNPWYsgK
8ZHpjCbtKLZlNYpqn0Z5vkWDEv401YvfoKuDmQI/DBuq3rblmPimzWOkGOzrxClCH9MolIcybPxY
C0lUA0BONCgY6Bh3RbNEn3nSDTvzVxXL5aa+9X5Vt7yM/7fVK4shKfqSwLovOayqp/qm42qCa3TZ
LRCLVtoUPZmVfoqmqOEcR/xNsaOYQ+0zil2Mva2vnE677KPhm0zN+9pr7xq8CWExfLNlTpWrDdom
ja2LGt58aNUXeEAOehimWIZ6KlQm+0RgG2RPTvVwWPoinuiUw/OwlPORx/lzlST4YzIHaxldJk1s
J3uviMjpi7fITudTVJnO2gLeRaBQ58ZcZpsZhsfMQLLqPLYPoQVJupsm6bPEW07kuU9DoPkT2e1O
i0M/z2SziU0gVEtFDVJ8zkdpbgMTT1kYVf6yNAegAbeRrDM/KSStwVp6aOAFYBfXD0U7Ndsmyu/o
mDpFJlcrbRb293lIW3xgIWB6w95NBPCJL9A9ZXVcIWHd5xRaTlV9Hi1cjHqCZS/tXAje7kBSI5F3
0pppLp8I2lNPyPIh8NiXBTT/ibk71zbFn8zIB3wOs19m4sOy+3cd34fPkJSfTC9XYHKopTdV4dI2
MFmxxAPBQ9bRtaOXJrrfuuJ7qkWHxdYuO9156CLNzyIwD+7cAH+m9svUL5bcvRmKYgfeYZM0wVap
qrk9pntOYt8dO2NTm7zwsnD2rRge9QWgUSXDDTynl8UezqXASRI301Fm4nrhNx10zmDVQG7pLNm0
V6PVPzRtOpTWcmFS9OQ532iOKd3liGXC3ckk3DaOfKgXnZFyehtIjUCW7xgO0wtpzNdhQMWDCaud
hZr3nIUGTDTb2zSjfkGPcLgerSvsz3MOxzta2CXIpd6R9bh3p/bBAm4whRicZITDemBsZ3HIWmHA
UlemB8LK8EoH/VulRfeumz9QOEgsaNw5YfVpONOx9rTjNMGXYi9wrBPPz4B1r1ghbcxSZ4Lsre7W
GpMjf76TTMSL2RMomM2M8bZkhDbMClSYNaX7ScuN5xIHwlNL51iznuY5IFUSpLdT4LSraaJ53mpA
jeFgjDa1pqxIihIXUe21qg0qe0Y+FhcDVeqXvbVwL8roS23XfWWrTxgbH+rnvI6UaB24bwu0FXIr
9jetNezt0NqXQUTTGDtqWDiW1/Jmhuk1zADbZ1fFuQx52wnRMCyONQQREAW6npwwqdzlVYoHbSQK
OlRtuEs968m28SVCwah7bdk4qu/CxRV3Dij22U4LYC9oBG9WmFCLRDc9HznuNpa8p0Up5XWcUz+c
wwtKj5bVnAY3GAPeAHKsE1bKbkJ/WaCJu8Dmb9msXto+pXsh2Q9J9+k041Uml2QXUq0AQyR7Btu3
w7n2QuHuqndb2nV1ekOCkf6lri1Y3DCWt4GEHB8TKKXHqDbe4WxPfoWHIymG54Hlq7Q6bJtx/9J2
1q5q+GtORxiaziPk4W+yLx6lXsLln5K7KZsvCm/cdzW3LW1MHsNoPsQjH9FpOg9BDgA3oNIvs2+7
brmSrf08RfKyJDHrWsPjuDRroudUxOGpHiyPh4VAg7a4fNnpy1JD0vIS2ye3woKZmgSWqfEhbKdo
G5kFADtp3wFS4RXMuB2GhXNfD/GxMwkDtLEgFxid6oBcsRYX19jtun2ZhI9yrrkAiGYvVfDbmtkV
Thgj+dPnkXOBI3ffpCEVvMBdqmETLOW6clP6xN09I+sKzGlOTIfCFVfbEJza91hFV3UfvIouPfJa
b+IFRp1neEern29aKlLWidUeE6HtG2m/BAyIVN4pENAd+fMN64hlBzOPptE4uhbW9BmIUao00Iuw
CPsZS3wmFO/XQX2fFx0btaLcDwSs9q6XK8MfSTLDwKQZv9gQFQVVNfgCy25X5EIHQ2aN12xWQMPh
tqUOr3kC/R/uNOFeCQXuH4u6PrW6E667aMp3qBffY8qQN7UItaexsnm/LEqgZ0+3MulWf5+62NkY
kASoIZ+N80ja+tdB9T/q0X+gSVomrZdMIWxDgW7+PILoqdTzvAi0yyTB7fct9d4s6f8wAv6BpP7f
voWatH6YcmbexXba8y1EjZHQueqrK9o9/vx7KIvBP7WzLwsHfwybrZKq75RqD/bj9zCMfs5HLw6v
BDl717laOtxR90Tn/vzbKMX8X7+Nkum+5FusKP/iPgjLhHRBOoRXPXfGOqHfEIegVj/01rVyiNst
Jkn5d33gryEWC/37T68SaLzrpl/+XdVVX/nbLcLQFU0WzCzYDbKaP605odOSb+QewUTj2lCdf19z
Or8YaIcM4P+IcTF5/6bq2nQSCokIoyNOYJ/6S3tOQ/787lf3CAR/xfzA7kGZ4Bfl/od3vxdopR26
Lu7UKS53ujKwNkZmbLKpeIwb090y8KtaZ3AZWeowC8juUEv9cyhFTltdPh6xEJqovCmgONHvwzLc
Sl6PjdnQiFwWPQsxxIHESd7GgC44/Hl4XAuu1Zky5zrKpqtVs3cd1fmDVDbeeqQImkKVC+x8D2EI
jFXEj7hQ7/M8Lq4ojGZ3odZmvVqgCebJY85OLbAQ9FIImm5KrnjqjQ+2mf0uNLTxvqi9PVzfU1JN
805MFKe3022tj1dTWWUHpvnLgSopxnJfijZZD3K6yB3FjmCN1czluZVkyMLO9FOcXusgbL/PMWcz
IvWwdZa5WZtx4IdxfWd5lIVMFl5ZDH5t08SHIXNedEX/oLToclDWRXchKoPLcY34sY/KWN9MaR/B
Mko3nlxug1Cf91LTeWn6eDhlMQu+XIaXXhUfqZlSi75su3Tae5Jk3iquOb7CMvbHhdhuHVA8qA1U
FWEYi1Wxz67P3GszJL5pgq+At8K535m3CWSpsn033PKTLr0tiGzYdzV5kUhvXyMWmOs2YAFpOR37
M8BNDGm66ieA5j2QVMgs0iJzuydre8vdr7yuc/1cT8m0FbVe4bEv2w0taoa/GMa9tZCmSQeQbJp8
wFzkHesh2adOF2/sOoDuRpjPDdIdTuJTW3bXY1BuOvKzuH535UQdOyipR89qLb+YDG8dqAIsL6Ns
JHbOcz0/GWW+swr6U8YZO7E53A6tBu10GT/4zhM6Z0aHe61fEVQ3V7U+XyeTazIoR2ev14ILIKdv
xKqAxza6cYDdZb9EWu5sa6f35HYuqPMWy06mMmDFPlSX4aCRcQ7L9oZidAj+zhx2sGErQP3co9/d
yh2PgzTxszq7ppr2nRnsZmmOGzNonj2LDZk102oOf31bowdXfbpvRgBoveQldkM6X/NoeTCrkmS+
MY9rs3LuYJKQb5k/sqhONxyJt1kAoNmGnrfkw6VBFEn38H6mNreQoo3ek6XyDl3pvE+Kx4eHGHfd
gMWu1NubjuYzPojngOD7hoGxOpZOAzcdt3qdcjctISEEoYsYMM18xQQFAAlt3iV68JlVwXWGt3tj
5Z24GqK+XNs9FoZgyU61UYjtIux6D6VvoxG4coLiOCZGu4kD4zlB212Ry+wuIvrFzubYyA8hgvS+
FDBRssFlQNWziCHk66H8twhncfb/yenUd0Qs/+Bk4qt+OJmottXVZKXkMpXZ/EGAo20JPY0Q+j/q
y38T4OCG4HRT+yvOMlsdP7+fTO4vpC6pcRQ2RrWv8+wv+I0M99/8Rg78LEx1TDNAdihE/3lmGozC
gNPnzVcg1Nud0LJi21qihbRsukF9ckUyyVU9SEz4MigqMOj9ncilL92UBWvD+y2OhLyYiqmmIc4o
Vn1rHWllpwlsNtudoXfepV3Chp6AXtwYoK1XNt14J1bgEpW7fPIWPVlrUnwvapwverTc5DH3h2Bk
uaJVA8/UkEkOuWZdlAPt2ZWTruNy5OHjss3teZagLRs3qallhyEfe1YXciuaSO41B4agNIP2gLGF
a5hnF5JMUXpL5PpjTOu7cojRAlUxuLC1QzJp0zH0SBAunVddid5+wal169X8LgFwYnaOI1CBftNO
RbYJRu8sOINqk3X0FA43IiUz0lcPXlKfcGS9CA0fCcW/63ihgrBwkwtLzuQORnleKvd9oeaOEsq0
XrvAqmanLOk0GOu11oPki1AXPSP4nkZmu5JuuQtgVzlafS6M6imJOdZVAY7K9zXbUc5vS2xc6uC6
t6Nb3cZRCLArMWv3ujVdbfYxZgAdiPh+3HOgpNB65+oskqrSZ7ew41LiG4L2PN3bERj5WFw33kpn
wPsu4RQ2jssNDLh60bcVwlVC1sYdq70XcoEaDeuRXN2513CA1Va1HSZDbtr5I3DsrWFU3doIwlfc
p5+9E5YbJ2Wl1VkLI5DosrObGddBM9sUP4F0rJLqJmqWV7fG3aZ3rANYsNlrOtbYSdlIw0b3LUnK
m17kgodchaSXJTuWLGCvGtC74GR0+2Yaw0cWjB5OlPYUNl22GbScdYTN29VtOV9o0+02zryIvZMV
8bbMW+KfIWjruPa+VUFynVKku0bKOwWj22zmmhBEJ+NXGKLc2Iby1ZlMEFsT4aVWC5Z90JXWBqte
ChAWu3gOoHcl9KXaTFZoMc+Ed07g8J7ihN8beX7uAqKkfZGivpLlYyBAECKXfcq08cbWo2fS9QF8
q5zAE6HY3Db2mBi79RB6cC7bdpNphgT1CcsDrWdlV3q3kiPkRPJTV+WkHZqy4/4xpt+hvT0muYk3
arxOFPOLipoPHlKXjRHmUHvdS3RDsU1cpsGgLYYLb26vzcp8J+Ncrdoq2pvZ/DYm3uVkFHdEaZI1
hX7PWY1fvdVkuHMh+kJ4BaNCI/RzW9Y3RggJnt7Wj2Thtjwbgb/0I7C0TLNXrdVCFg7BDUchYhw9
C1utSh8Lkit6A1fYHigIEMkLQBN2h12JUanE4UML3hm8yLek0UgLDkeu4IJ5VMIWqo4BLrN1X/YM
k3A+Ek977mqSaTRil02erUanJWgTOk/dYqDphaa3HyoHREIOJmdkCl/VrWddGWnJYqGWS/z+97H4
pf9Y3Kz/5FiMXtsOi/ev1tzD+//97z+uenzVD8ci7nqawgyA28Q6OOB+PxYBOCr/q8W/oavH4Fb2
j2Pxi61hgdxQtzah4Bq/H4tUHKMGAwsgSUvhDqmKvyL7yC/L+j/v+FzYcJvzu3BxlKYBeZxb40+r
BPXNKwoErwXjPJigvl3p1vgNHYKKhFq7qiK2lC2LIuiycJtm0BwzNjB6zFH8J/ej7NUOiXrKFOMF
oUFX+dD4VBFNL11z72b9zu6CLY60/Tjy3yTvViNLIBI2z62ELxyPPBZYurVT/Urt55l81YeTRNvR
M7c8G9nu6hW3Aeu7jYYTzh58grZM11qc9/ukavaN551aVtqlIXcL4To6iCJSBgM5tPLBGYfL0Yh6
VAMr9qPFeM0asUMDe4oIje2cAH5XVeez3+hZCC+PLboFO1pOSDxuUJ3oPt97ZrJNo+QuGLpqjXA+
bodquimwpaxagNiAewRpaIzH4FWM9eKOzKuFXtDO7lx5ZvaO67TyZwNTcRzCcAUCfd9kJdMvTypR
jDD+2uScWmQU49CgemGoMhotHJ59UzlzIXCBk8/HSHaIJGP20MlGO+ZE1Eh7cYxE9apwPQraNcKb
sjtTwHBfR71vdNNNPMXatle7a9ZFvljcT11TWopR3ExRQf+Z6z0niX47txXjOtRrWGZmDmTBvF/y
+JnimA0VqYgNbspWMyacjqMgqcWnoiDsk2VCdY/7eYvJOARbbEKliB6jhJ8/nO10tTD9r21Sbr3N
NrsqTAt/Rf9RJulBg3k1Agqz4pYutU63uZTzfcTU0pJCG0xZRE/A52+nxproVaiwn5iE3kJssHXR
ERaePQw3uO/WGY7ljZ6nlp+X/VVZuqyPA/7e236V6oxqIq+eIa1fwAW9aGKSi/SioQnZ3BctA2Op
18KqyDWTdtmu8gOzvCyIcNax6p3XILmEbXwpkvK5TuoYSBJyD9gBjrwCSgI/6DhwodazYV/r4tow
qM6VY75P9eDUhP2BPNxDrw1+2Rbo8yXQBwpM3DwG5dYOIPHtUfXhUVrniuGJjfRHOxhrLZn8MYZu
nhQQyBgIyJvxp5qd67Ieu3XqDXdumu060t/LZTecAy3ezcI7hFNxpcvi2hiCPWv7K61HtBkUM0Rt
VBT+si+jZWMsDbwCrv28QeNgbWsY6mvP5iXnNy1yWa1d28gREEix52L4jNKJPqrcdLZGpT6qafs2
JSxoS/fTSaYePHCdrIPe83y9kIdIZ9e9YDJp8B+YINcLb/IRa9jiTGYAlzsaqUtxTS6ziIhT1B3L
IE12+WC992RfdtDk3ktzeKqX/jtmsWRbtvgyQnO8niEmr2E8DkCn7W7L42iAkNwXhDjJVXYnnj3K
Qk83TzzVNXxYMNGyIDK9M9Fs5MMgUtf1I6tBJLPmis9SXeBpdaZm2bp9OOlbt9CsiSuAYbp7rjMg
qhuTs/ISoMDc33m/Ioa8RjNP/dSXp1FivnrCvW8MV2lX7cuQnUiVkKqhwcvaxTEpXKjar3oT3rY4
4NZdOh0tq+h3jdZMvqvZJ0lR2QZ4oaXqUr7XGN5RLG0sIon1lGqkAaIB6VKn9fpolryZ04LycH45
7HZZvlSB9Yonzdh0bgICdak/oeYPkFlLgfF3RHoTOMibrpnWczqdZwDvU+wlu7TSzvSG3WhBf8rd
8mWIR/w9Jjsl2p5aHak4rCR4EXM6ordIMaLGONVrTPDaVq7FzsDQa9Irx/JnvBNGchm0pJ6T+TmL
jM9Fp0K7DeVnOuTfChFvtOVozFOysSQaaNjcpgQaViISaHCk4k9Z5JxFmomNN5WKjUg1OGMnVxR7
XeNnWfFmvLSddNnAQWZBR8ME/gqKi6CXbOKpPy9iPnkSwByvQrV3CsKtLRKpb0KuA4xToZvG9Ik3
6CIs/u+7dLPI8NFocPq5VhJsaFVHB0u9kW/OhOel3t6kqXu9TJTTmFCH16M7lVf5VI1bjPYXldsZ
KyTlkAYK5yoeizMAyHw9VbQlIju3ecvKonu1vXHe4uC/m1kIslhhaRl4HCAYqh6CnjRCPxaPtNkd
Ey3lZ+yXp552GggCkN3SbilXFAtra2bcj9bzHnhA70SVXVDV3K2M0NxT+/6AHuVrsTMxMosDa87r
gUuRJ8u3mIMOVVpcWtx2YEAH66GwAj9Y9GYtRQO1ZeBI6GgPIu4DrjhND56clVWAJmzXqP1WUlgX
W+1VGvfQjp0dd+dvlIDuqY1m49QbvAF7a9qmghuH0N1641G14OPWpw2dDd6GSwgAXE33bQPIZscL
um6j7ErQ5IRe0R37gg1pbXtHp50eMox8WAs4BHlk0VaxhNRX6+TuPXsNOivEgAZeL9SNa1sHdqC1
lQrLi/ywGBjNB3zdKMB1AOHFPFhWfB31yTcNmvpOK9wC6SvgASfH/ZIbfCSke200w8LF0Mw3djl9
L8rwkQjkVVs43xfL/D7ZYgel56lMQxC5lb3pzPgQ5NWTKN29aTV3o2uczERDIZ/Ttciik9GMr2Ge
+b1jfHh0aYZ9fLPohOq8TtwVlnqI0y7Esz5a/z12/zp2I5r9ydgdfzR/VMOjLFW/j93iF4xMTN7K
co3W97MdnL9lg0pIHQsdzoXfx27To4aHYZiWHVWj95PbikUVmUz6NKVjskICxP5XtlHqR/tBWlNj
t2M4BGORSQRR1X9LkppRHhllLK5MFzh2kC9YnvSXMnwXHpoITp3GLi5gkrB1Gj3jYqz4543hXNl6
cdXXFWCs8JYSjxcmMdwr2uS3afRUNNKv2cWbhXuuAD1SYfOs0zqzyigQWRxqYyXWh5AUK8+Q/qGa
ivuE8MSq90S2rsGJbIASPAcJq3RpnCTRi1yvXxdoUXqyPBmWhuFq6hhFiy3yvLNOl3jf9jgAkmJ5
0kNnP0Y0vltpdz050TMO1QeqZC/YEz2BA8pXqTQ+NZ56ddN/S7Fbr6xe7hpP2y3Och17zJj8yfzK
Ay3CaLVx486GRcaJ5wTjoYtxPAEpRYm3fKfWdk070OuQu9/qkYuJct4e4J/qK9A9p0RkKOOjtodY
hHoRN8G+Zz9UWtPBgHeK9nw7Vv0tpRDNQybn16xCrLBr9xhG4pGlH9tAuhoqMZ2BisjVGDraVibF
vhu0ZD31/cmy2oPtEUSqA3mc9Xf8RC9h0D/MrqTnzyIQwj3gJRWtt8pq8wxh4cN0UCbQcx+o9iDB
I6xhrVnU3rRhyBZjsLnrz/uknX2XUrOKhV3f8pqFYcbSZQ4TsIfAr4bmEt6hHm0D7v7A0GM54atR
RXJWJbpD6UKM6xwPbgWFSgmdx6JhbvvK87Vf2T5aMsZD0kmj4xmt0n/TVxIwN0o2QBlA3DCqa45N
D1dvjVZBkLBQiUJNZQtNi9wYBgD+14g/hgCirZKIXlp/KkmQ0T3ZzCqt6KjcYijTW2cBD+uYzqUW
UYLSAWYzydKtSi16yibruXDJQQ7TADeLZKSnMpI4Yt8TQpOMDB9L18yrgThlaBORJGd8FippmeJP
bFT2MlEpTEsO19NXLtNL91bUPLup7HaYujPy3+7z3BnpqrLwrZHJeW9dQ6UuRpCoOfeGQuVAhUqE
ZqF2GT5nw6YgKgoL490iPSpJkRoYnlAPT3ZR+ElZ3Qwmd1Nm4odKLY9skqgYvMhUgYINqQEJiFz4
kn/i6uNjuNQ34FrXs6W1F2P7XEjZEj3QypPmOEu84beaVsJJN5oqnbJpvda0iGaoZsJ9rECXWNhu
+7kMD2kE+d8uLhcKE6nk+7RRBNeZNXCZree0+f73ufJ1rkiOgf98rtzTxoHR/d/3OerLfj9YDBLS
CBUM2erw+ClWbf7yZSz5Tf745zIH56znODo+CtUWyFnwm/ruQZ50BLkgeKw4eWls/QuniiP4uf7l
VJGceMS6oVYqp606dX5Q37moTHZdt/l1gQ3VOrdGz0ky9zGPtBX5XsNj5h54bGZO9b0e8pelpHtp
0oo7Cga42jlvM577bdWH+wZITl3FBaYoqnh6y7kUnc7SPukz4A1kLYLSG6jEmfHc4YhbEXi4hJdM
9cMQdVjLyqt27t41O61W0hvfrUortxGNyj2gGxZD8WmyFhQPiuM0GncaUcpNGZnLZQRLekNaNGPx
0bxrJd7Hpm8Uhm235Onsk2h/0yZ9F40dHtkp3DtOB/g65W6UqmR4PT6PrvaQAV1eJ6l+Z8ruKWRE
8OnscH24LvZVGM/llk1GtyLo3Wz1OXzl01gy9A5szimEjGPjqlRjG2P0HVbmehUx0U2GOObi/9k7
j+U2liwNv0q/QCnKm81EDAqe3omUNhUgCZX3vp5+vqREXRlcTd8BF5yIZi+6WwQThUSaY35j7PUm
XWlEfDVmSbRUY7eiYzQQE1ZOw6uddSpXDy0xYz4IKT8RRRJNOtGj1iPZQ4BJPP9UqfVFNYX3BgFo
rIMmVTWZmNQwLyUeloC3X6dBCO22kSh9SK2P0HN4Aw/yHIDn+fQS7crAcEcRARvoxG0iBTFaQ8TH
XC2XktHTQxU0a0MCLUB2exIFVPTgb5vL0ocpUbYyYurDnVlLW/xjK1K8ZmvnpJuyk14Uo+6QNOKt
WxWZuiJXWAGizedV2AbI8yX2KraCCvE24n+z85DaEDmBkvBba1QhgPQfPdKGhPTBlNsLGR8pV5Kc
clVROBlUlWucpEM14E5hyYXbVz9RGCc1SSVaMZWK3wV9Rs/tYWDJJDKByGgQ+n2MpOra7IzLnpTH
j8h9TDUCwpcD7URTWzi4xpN518CRlVP/IwCAvSnyqHhSyahEbtWJLMsm3coieDq+Sm3dKu4lkZEl
dX8niRyNPwUUIfI2TSRwkgrtSjWR5lfyL2mNZk6YF2f66FzEOvyWZhxICMkMW/hJi0Ekixiq+eyV
ygbvEELXIqfsm5aKlFYNu8bDOQ6cggemhSRUi6P7Np5jZnUHqAI4l0hX2WtzXSSwdmM1q6xuMnof
MGAGRfUQmkGQr+jJ4YGDphHkWPSMr0BOBIsxK0GIkjGHGR1K4kLTDV/SafJqj/w6HkpZrLUbHTnE
8UssE7xJ5OS5VS80kaQHgbWwoazRlP0ii0y+sPQv1SR/ckjxQZudF+N4o4rcH8nBYGGO3GBjWl4H
bb1L8HrGXW1j5xP4RAeez0stASEoGlI6zbTxi1pXn32pPenz5iqhDIFALIrmWTOfKFBoTje4iqhZ
wOhTYQHHQvqMikbVNF8KCavKZOgFlMjahWX12RJ1kDqnnqyK2ggig+a2EYbVtSHZaKTpD5y6JboO
Fdp1lFcaVC9mCtprcw7kE9TGhpVftwBap27biPqMSqHGDIZdJCo3SOpC7CnrhG4XdZ1ax0Q7Nedl
ECLdHww3jYFywABMIhkATJSxIEtlRsWmy9kStnmWVCHVq8E7zxM09fTWG1xL8m8QabjIC+fG8dBz
HzANNKmQzdoxucYF9tz3lXLpN3byUPUoynl9dyrhu0FdVmxsI7rHA6Whg9THS45VHRxx8DhkCEu3
OgZpfbblQL8e9Zx6pJwOcy6Aq0Lv1FmI6UpHu2EVyBQ0ulrDaNfMbz072wJP1924TE7roLsKDT2b
qVSTPET8MLmulAWuDPxt190YZmRjfNw+1uixzpyiQpojUwNU9kqA85P0BSE97ougCle2gw/omD+a
Gnu7TCybdqotuclArIviUAY2ErJ4lZcPip2Kyg3FmXQciPFUIBsB/JF5zpltFJmMtaOMj47ALDvh
fV6wkHoP3fvGx3GQr5zOFk3RXgOo2+A0vXTwFHFNtDA3VOrp3eoAjAIdecXcSJil7i4Y46ueO9Ft
IjtnYqhIoF/kQ0QbWW420VgbiSpFInrm0tTPY52mhKTldOot/CTkngp6bN4ZDV2DbHw2cuMS3ut+
UBiu1iPQ2k0I5U5i6bXZKfjNEtLvdMb9P8wsK1vDv9k0SVGB3FFbYLNy/oA1VLKpp/IOB/dyDvH8
Xhr1iyZsnvsywYohuuOyl0+wsQb9azubGuinFZa3kM3WSJL1OBQgRZnQICT56NcegCFBpUFvUsfr
qBLeqZb1FA65NMeyA//3vMD+L7evFS8tF3hi4yYAsnhRFClouqT1NnI17kyJxdAEnbrEEul2yCi+
2560DX1/V0XW3IfpMBuiYpWXOX9vFZc4GyroN8j+ApLLUwElc9k24SddDq1ZVJqXIA0+5rq58opk
WE++9iWSUUbXOuh4qloFC3vIEJm1APw3JsAMGU3sRRbR91XC0ZnBV/hk1t25o2NRMUGzmVUSp3Yw
0pEHeN5Tyo52cqaexbSU3Cb0IrfsipOwS5jqplqNk45ZiyYaqXK8jnxsWUMbRLMsMoRSFT5+UZUs
6Lw9Bz4uHSgHVstO0WQ3T7tunsujm8cUJEfJvE9tXyE38ww3LaXboOrvaEMBbQpxge4TUjdIPn5L
N9unWzxX9eCmMa0SPkCzaX1EQ1LZuaMSjMUGPGStboQtl4QSCeUyV+ua5eBjAK3G2UYicmJDRrLb
q+gi4/o4qNznzBZXSLQuTbl3ReOgJ7mUCvOLKUu3EhCtuZUKnJwTf7EEwg0I5lM3VicONzn6ksZT
jTRKabcQmn1li5tiBnGx093BjO/9NEUEcahU127xl5dS8P+PSByeEhggT6FLuGq30bYwKsrdbRSd
qyF0RJhIVEXjT75kFPi/RLcKRi/g0aRrC6c3mKD5Rnf6+0GI65jBBHCwyLNF2aCwPxp4ZqdxycfR
QXPaPaSmPNdPbLBltj2S91slQI++/4ICIKXjHhwenbSl3LUPRSf83ysF83nkwVkLZ5oZNoK3ik1A
XNxQsDZcA4AR4eXAOV1lZ4NeZTgl6lvFbp4ijGhc6K/35fBiDC/fYQCwHcbklnJHOu/hWuSW/NiJ
No/dZxo1Pauf50l7WtTVMpMHeyaPNbRzsPis2mjvEBsHnQkUb8j2U1ptJwe1EL+aNugTPoQRsFYr
uis6Cg41UZ4Vc/QFJSszcBAdyZOQh2ytlTxUX8yAkM7Kh09aSszXQcoJk+ihtbKNh7ZGEGc7iiOP
UdPi21VuU0jTcz8dkA2lvo5cyBouwvUQKIvBSH0kf/OboXbWpPYUe0EByBHqJBqS3gq1YI2cFrEj
pHtOqyHftGHhJobcqds6Uka39C01vkqyyXwY89C0z0sJMYMrxMogMYy2CdqwkP6DA/8KDhCibn/I
QVvWTprtDySh/N1rEgqXVGAKLMpmCqVMAQ/4DiqQP9DJV/AsUElTUcL7q7ppf8BenHqiggQNLxEI
vdc81PqAubho/wPC44b8Z9VN8xcUOIByJBjBgZuKit2WQPb9nIcq6AClEmjuiwlHGiSvZ3qHeNKA
V82URTmEZgJxZL7OdGFog6YHlnjKKkSRP2glJBGiuYMDTgYvDr7ctq+LXYxDjlcnLoJDZ8OknPqO
vp4CURMTpjqB5X+qx+SKVkC8MPHdcWQMePQXKx5hyjMpZEOpMOpJYiTEbGHek+Pi07Yvdj7ppS0M
fhxuLrTIabo4McZCxlLDCyggmi+EORBlyYde2AXl+AbZBH9ztaViGQtTIfrbz+g0EkjQ0HQnYT0U
ChMieiqnDa5EGu5ERNf7UZ/Oat15THAv6kecbvEPX+X4GpnGJMShzQsDx6NEWB85gXGnQeiY8uZz
H5hLzIc7hMEJKnrHvqTadILMEta88XnUg02SFI9NCGY7shKQr5V07wgbphx0lowvE2gzvE0oxSG3
1GwyA7HgVNg44WCULqXI+TxY6SWOA6jP2/l5UV5R91umXLOjpVyg67lsteF6pHKK+hD4C7yjNAXR
90R66HTvHuzD0mxJbxxwVmCp0sdwpLosYUSVCksqZYjOR2FSVcbtlTx4xKXCwKrUN6C+cbTCsBZa
prC58vG78oTxVWpggTW23U1AEZr/HS6JfZJ5g19Wy2N4JRbIsbDS0vt8ZYQyc2Mr+PCOJ9g4RyCz
JCIOYcWVC1OuEXeu0KZj23vPqKwj6mXi35Wb1xJdAhcZo1NHWHy1wuwrKEj8wyq4lvABM6JGP0XC
mzinjG5tL3uiWj/PvPQKgsIzhpAffUcGiKwaBIZ8qHUhLMccybOpjwy+CyBkqQljstDyEH0JY+SK
2/kEKMuY4hUl4HWsolSUtQO9QqARtmEUc93E+ky2iocc0TNHoeuHCgR6UcIoDUQF9ctBqQHBwH6Q
APbMpoEr0lSc4gzuAKzOmEyiJeKWuQLzUFLoh9s24txZC4URFlc+JKcAJpYQ+B5CHN0M3bjGdjl0
LWH2JinYvqXCAC4TVnDOyJ0Hou9zgUucjVucZvT+fDSmc7n1nr1OUuYaznJOYV+3OM31Gn09xfM2
Viyhu8Wih6tsLwdhUFcJqzrVj+tZ0SMeF5UY2UnTuPO1CfktYXKXMKOzBt876uxzGR88ZbTIuoU1
HmSoVTip6WKMr2F8KsI/r8NIT4rHXdOZt/7Q3caJMm8H+zIWznt0kskUVOI7DVs+SJeEsjASA3y/
gxcD8LDsZ2AK0XQz6OVm+ITzvY5bQJgwxwuasBTY5qqk74XzeiJLZ2hgZ4vQHrMFCMldTu9jLBrD
RZ515OuiGEyv0pqNFUG4WmJDbfU56MpGWXmq7+CjSprVd0k271tWIP/+RU0oZo9G4s3QrcOCIZGu
qcrs65QloZtpSORh3RVVeV4nyFGoir4vCvnCQmenjsiV0LXXFxma1EtTiZZIsFSnngLNHV+wecqM
n6BPSDkkYzW1TfZJT5N8SbYMiii0kRfqCNiS0V97gFLWuTLuSjNEQJGjkfh6WUKsdYNAP5ua4KIG
FUSSBMJ/DLWbPkqxwtWhadTyKqr0W8Tbl7Bzb5DSVt18AmUp59bO94ttYQZblQ8370Oq/obc3iGJ
orh0mISWILWmymBR4176qTOnT1VDHaHW/bWfSIBklXaRcsDBZmxvChvpoyrm+9UkQL3U39weQoCQ
qXskaOeoKNw8cC446FY0odOZqte3o9d/jNXmviptDdn49l53AMMqaq9QAVApqNdRNw/twMCiBpBJ
7kPYSxRtU9XRTWZqq6lo87kXK5/6GEyEAwbXSDB4sh3kCrXCRLlG/diZV329nbyHnmpgoF1RVZpR
xvtI2HwXQpGnX9esUKo5VzHZdItEqXF0MfcKB/1CGZxLElW2NuXXtYQ4IPjgKVwkVkjbT8cDyOlP
6yK57hx1bQ0Jx2+IQtqoCIfAkyAfJxBl7b3VUPOQy2ZbNuedCTbKQNbIt6BfA8CZ46Ic4hpUoX1e
hffKOK2SpIpOKR0paBFUZ85oSUuIyfESZaFoNlEiBRJLXm146aIv/K1B5dStTdQ4URPxKaigLqWu
gavtbeyzzvqsQWyP+N2w7qMcmFkFiRMubTmN5wrVBjeo+Z6BIZtr3wZ7DOQIulW99ZrJucCgCHTT
JAEurht9g+zKeVIFtr0DoTOupgGpo6DAl5zLI1o6pb9MDeVMLYwNp9HW9Fg6iBuDcKEOJlW69hGT
Gk6IrqSgWEtrwupzGnX+OgvkvTbKe2/0H7lygBQGw3qUSYZt+KaxzEfnGWtNyefxkDwNYUy5zQ8A
i0cqkF9k4DLffIDD2uHC20SLvgwWpVIjwaVOS2QDhO2JeeIz2cUjsCxF966BQ6wlqVfPMWG/0Arg
KSG27i44lzumn1tcSfbFEG071cdhqByucLhYRTawZ0OzsmU2yIDmK+wvQ5wVUKLsH7JmABaT3Biw
is3EuEN963IsI6pBU7zpdXNZhQkIECWlJjYsMYhAZkl/4nC9xDUlc5OAJRCa5TU8tiUHHFp2uoC7
KDWAN7T/rUlZZ2ajwolOLyyHxlvsBRiJOPG4qAY6sZz7CbYlE3qRJkJJA0qWhanX4JbV3VRTbUz6
fmWR4MBXMM8Jch+qqjgdrMQif5YWSoiiY29/4mqhUKVeV2V3ws5dW6opw9EL7ooJ1H0UJme9wlUb
K6eh15x4SX5vFMpD76H8gCLCfa0OZ/lAatuHDuVxCaEsx/A/pqOcobeUbKZwW+nVGYWmZdGr1HJC
+yowCu5oybxri+5sGpC+zMLHRDcgnlNvrbXxFCBrux6rkcRxMM9SxQbdl3IQSsFKNkKqfoaO9wpt
eHk6aStNc30cNxBMMu+jPk0vNY/iPVU7aSZhuzBHdXOada1TAKJTKc+n2egWtYUM/lStax2PTODf
j1ZPDGMP7aVV1NrKwR915Tt1fZqWFRmX1p8kEYQEAPurOEFZwyGnJub0GjaXgcGHfms20tZEFnFl
BvnGIdqiz19oCCROnWOG/yE+fUvHyIL+Ph37BALrQCrG37ymYoKQKyPAQ8MIaR9dZHffUzFahWgL
Au7GikeQj35MxRzV0AGTYPmmCDDIX6mYDSNKAxdO2gQa2/hnLUFovr+2BGHhmuR9QssQlu+v+O6m
6qMsUaPhomg8aVbYUEK86rZRUSCNVDS7JhRUb8NOSS7UJk1v6tar1pKstOt28hRsEYcZ9BdkWUtd
O9csXV40SQqe0Ir22gQWs0EA/CQou0en7YvbfIS+Qy15uHS4/l2o9pbrtF5+q9fdWSW3IAYzMKlh
AJ7Oxwmr77EPBTgCowVXyoXfIdFZK8pdii7AOsHLBIFatGyRjtNG+9Yv22o56MimmF2BPQJO5a5u
Op8l2aTSi54cWlghdsN9jsPzmC25YVqXgIemAlNwESq2tySIc7Bcy40Lv1dxcnshSAiqBIpZFEey
qaGsZ9Gyg3WjFxHQrTY9beFaxHAuekG+aGBhOIKOYcDLkFsdvT9fXuAGv41hbnQwOJjNs1xQOmRB
7iC/Q2M5Dj4b8D4Gk2I/JLF7v4zvBaxtUQiSiAdbpBG0EU0QSLRMsVzT99exIJdIJmQWQTcZMnNr
VhzVDUV4Tj04KY1gpwRej3wRhBW+6Mh1zOIml7xzHUqLTYyKmV/BJ9GePUgvAJq7U2Cw8JAbYaHX
2+dA82Bhe9O5kfOVNgVGKNBoYug0qlbdT9BrJK8gkQhQm4V4YwoGjiW4OIpg5XDDbQwVrHrSgpdA
pPuCJgNcqFRfm5B6csHuyQXPhwzmU+FPVzoEoEgwgSTBCeoEO4j1QRsP5W/7gks60h5l1TTGjYXJ
z8KCmAr0ZIKKBYx2jqhQPUNrcS/VtI1am36ONC5fADUeqvbAQ5JtF6GAaxkU3dRUOUXgM5olAkXr
yQroFsMOV6MRo9qiwPaSJi4ihDndzq7o0fjxU6kS+o8BcVYI6HeRR85SlmPAI1gOUt6tvY001iXn
f6xwutuWK7NSEXK8TrJsYGXrm8F2yHAQkbrNAg+4h66vlVxYXuNVOEOonV6vR81WlzNa8t5+pF0a
0vTdxIZxWzXeZzXLGteKNdeynHOykYTL3cCkqoduZSXmRrIr/YKYL58hkNi4hRIihVTpN10smHWN
cYqvUeE6MKNdWTK2VdKGW2XMT0o9UTZlTiwOwxjY/EOteBdS7y97eM1LHXuupqzC2KVwsKpH+vb0
9ud2mTwGiYGJWsFWZ5sUhYV/dYovWVBvB6svNrFk2fMkVJSLoC+0uddKwTXxPSgaHehWa3vnXUnJ
OHLgySHSPMOjnHXeoWLlQaMYFboXI1zxbYmL+axVVW9NLMtdWef6avQ9Zy5LZb0pyuwEcJa1GP1W
28I3mFAHUqSVjsDdIi+LK1NyquUUj1tJ9h9oFmqXakTIwekH2yCkmx3ExVbSyNMH31uYUfGptCL/
S52lcydgG19ZUbSfookIKHM0mGUv18Z/iMMI4/7p/mwfdwfuT/7mh/uT6xMiE+AXfHUECer7/alQ
lTTR8gWq+YughcNvuGzBzqi8xKJe+b2UaWPZyqWKOSsZMT4F/whSgwTfb/cn8DRAkjrbzTAVQVD+
EVKTNFUjD/kgXzRQeKGmIEEPA/dElVoiT6yZrnCzzNdoHMAexG97mSPB4Da1vq1yA3qIYAuz+ozT
SjCI2RFCDtVcdZCLE3sozipcDotO1imCPSkdmrFq2q81sxXOl/3G8ewlOY08L5BUa2uP68gZU9fq
9bs+q9Z6GGS3pe9j+VUUT2Zvn+RtcVcpuqCvQr4w/fIpGZ0YF0I6eWXfr4diGOjV5kF2JWvgYSJd
v5Q0GKCQWRZNL3tu2ksefPuqRR6OBMNrdlbrP3mpjUbTCCffH4tyA6sDC7tcum6Ql7100DqYpWYA
1lFDr9wbLWvuhZQ7MNlCG9fDhYCey6JytOc6NAnHy3O7QYq/COKHUNVum9wp5lKk7ovYGBbe5N9V
SHmE7PoWdsqMYGDtlc4z53AGIi5Yxw70Kzk6q9GsSjP/JJqcWwUNCoTIBFxIlW8Li8Rt4ktosE93
Uf7G1K4xdmNbD25t1Q82JgNkuaECMBwqiy5f2omuzAMvvAodephS2qO7MI7oRY2g7WRQdzLoO+7T
k07A8bSovm6F+/tAk2Q2VTTMsB6aRSbFV6tI5hZwBiz+pBZylqNagGuapI4RuECFNsxq+8JRi3GF
j6s6I7PdYF3onPl1tVdLiN8I2ftXkgA/TKHx5MAhOC9H9UuSG/A4KzOX50GkOuckdIiNZ8LONkYd
rjEo6WVJVmz9OL+ALw2MJbEveiBULjrvcDpGwCuxTnaPDVtbqedFXmQU2CdKbqFO1a7NM3hz0ioa
aATSk/1sFsFHLBpbVGscF/ljqvcqQmC1z+Qm1PFBdUwfLcCnipc/piQqraJBic+kK8UuvlB+X7TB
sGrLwXaz2Kxcuam0jZmUm8JMt0NjLHRfuxiV+ELX2sF1EtqEch7dy713Z6TozTaxgz2NZN1VjW/w
2OqpV6jEHDal5rJM0f2V5et0bLYyl1cZR9dh6C/MNvnUy9Wj4VQ56nywFEd6xnYVt/NK0K1yOaMV
z+QaurRFqF5fmTJYt9YZY3qh1imSI0+2OmnzuhnvC01tZ51SLItaFOgbxP/HodvEuBlAqZDP+6R/
DAQ33RQs9czEiS+HuK4hH+AQCZsQ2iPBbLehuDcyKneVwNsI9vsgePBx1J4MoKzcUXDks9F4biDN
9yV45hQafenRgw0Fs56K5ioK6s82lHuC6jsFCr4i1dhcwsmfIOc7kPQrwdbngef+1PVzByK/LRj9
7SRf1472eRRcf18PEjcU/H8Kp9KGeg0dYIAOHSIBeivtA0QDbKEeUKQgNma60BTwhLrAJHQGUnLY
yqP1EQkNghQxgkgm8beRcXCph0wzKUezAINnSu42OgbUNi4iCFw8HhoHHsR8BASGK7wjZJz+5CdI
pN/8jf4f3LPfHlF49SxerHqu2n01Xu9rsDn1K6pT/PYyB9B0m//fXvTngb4xkW/HApOg3TMCRmi/
N1X41Px4CRuGw335U9L78kwvD/ynIZIdkJP2mbE1FKUMnXNDQWxf/NDhw4fD//ZrSaFDSX8SQz7y
4pefH8OlP83Cnz/g1+n882v+/hOQgP9K1daAyP7jmWCcH6ZC/6DgqELMQfAgfqgA/DwVzBW+Q471
ddJ/WCd/txL+/Pnefg5+DeH+ndXw8xxYHygzEMEhVPz6df80B6oohaAcbmvvdRIUSjBHLwTZUFUN
v7uvc0Ao+9MkKPYHlUoMhlxAvvlhz/CO73A98N0eORX2B8Oi4oRSzNepYHJ/mgqqZroj/gPd4z1P
hfxrdfCfbw37AwRIYcSGPq/4+XVVsDUIi2wwSPzmXa4HUZ08ej0IvUrs476u/N/OSCbBQjRKJ2F7
p5MgEsOjJ4EtQQ5pCK/SAyuBO9PixzCs9zoJglBy5CToyJdwXcp/tx2YBOiQimzK73Y7fD23v2rO
fg9l/pfg6dfrUlwDsD6/XZe/nQnKB65SRQd68V63A1HOkSvBFhg2FdTZtzNBTNGPIaQKko37QyV7
eKeToB4fOBESvNgWq3SjxM+vwSMHIyqvuiAsv8tJEEfZ0SvB+mAjgETvSns5F53fogUmATijZb7P
OTBk7fgw4eUCBEonCqA/bQPF+oBOtU1+8S2sfJfrADWK46MEjn4Q3FwOdFQPbgaFWIqyry6MxDl9
3l/o/O3SOuZuMJG9VIDUkkJ//fl1PRAl4NSCCvR7vRv040MlXaSLaH5SX/i7SYCHoemwZ15//y7X
g3H0VKD3hjYbUu+Asl8/6k/ng7ghmAgdsPXLpnmvWaX+NZ47ZmuAUtdlixD6W6Xlt4iB80EWKTag
ifd5PghT+qPDJmyfMImH5v23h6SlE0Gr39fLu9wa3ypBx60H8kX6cq8346G4QSWMhnj4TteD8jWi
OWYSEPCXVUMFYPT9+/7pfKDqxMlholTwXjeF8RaTQPVVHIB/X45WkQLizvyat/xbkcO/8aLvhX03
wJ/kpaSPSN+hyv/fveC11vv773+oVb9U7H96pSjxf33zrxVt8f//66eKv/oSHv3w29dw6eWdvv39
t4/4+5v/9Gavn+v1H9cIMO2qJxp4L42Obw96vkvpDPx3wn89736ttH/NE/56ml/aEz+ugD+PjubE
/tfBRbj4+m8Heh//9uDp7jmvXgf6S85VFGqPfnIstJpDD87DHT22u0t2HV9J/TrWD8/Oej9+fDhp
9W9fKbNOOegNBs+aCusTPH0PvQVB7tFvMd8n/zrHKu7Q/JNJHD3+IvnXPK9YPK9j/TD/3ElHj7+s
9nV2aHBO9KMHXyX7LHsd54cHJ1I5eux1mz7myXPzOtRfwytvsWE3abGvwl1yYPi32LIbJAoODP0W
O/ZkXx2Yc+UtNutJmPkHDgLlLfbq6S4+sIdEInr0Ujnd1fX+0Jy8xQY9zet//Xfm75P9oZl5iy16
tnvmAH6dhx/W+Vts0bMdylQHxn6LLSrGhnp04NHVt9iiZ/vsOX8KD51e6lvs0bN99bR//n1uBNj+
6DV5lvPsr+P89Z2qb7FNz/KDc/IWu5ShcWvZjwee/C126vmuOLRa3mKfnu+73e+x49fa4tHf5kW1
4wg4MClvsUUvk93T/kDsKBL+o5/8ErbUoeBOqIYePfh1SOhYh88HZkZ7ix16s3uqSAmy5sBdqr3F
Lr3ZZf+a7VHuO/QGb7FVv75Ble2q54MHmcAQHf01iDeZh3v/0Id4i10rxl+yA57C+unQe7zF9hXv
sc13ZXvottLe4poV7/C/O66/ZKVHJILiXc52zf7QPL3FfmZ8zB5nu+pxdyhmEPXzt1hPwlAyOfwO
b7Oxxaf4g2Xl0V/Dn+xVjh78TyLSxw9ex6hItq/f41+xg2joH//d5snuUPQgGuVvMDjWhQcueIEC
On7wZgdJKtm1B+Jw0SA4/g1EmeXAPSz87Y4e/HYf7A5NjejyHD/4H9Vnj12Rty0nwYErXtRej3/0
P4sWHfvsH3nA9tBBKeBIRz/8Hyi+xz74p79nP/156ENl2e/t7t+Lta+I4EN/9nMtWrziKdnvqv/6
HwAAAP//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00000000-CFC3-4030-9DB4-D22B2A449576}">
          <cx:tx>
            <cx:txData>
              <cx:f>_xlchart.v5.11</cx:f>
              <cx:v>Qty</cx:v>
            </cx:txData>
          </cx:tx>
          <cx:spPr>
            <a:ln>
              <a:solidFill>
                <a:srgbClr val="FF0000"/>
              </a:solidFill>
            </a:ln>
          </cx:spPr>
          <cx:dataId val="0"/>
          <cx:layoutPr>
            <cx:geography cultureLanguage="en-US" cultureRegion="IN" attribution="Powered by Bing">
              <cx:geoCache provider="{E9337A44-BEBE-4D9F-B70C-5C5E7DAFC167}">
                <cx:binary>7HzZctw6su2vOPx8qU3MQEfvjmiQrCrNs2z5haEtyZwBDuD49SdLHtoqy/vIEdcP17fLDjskVqJA
LiBz5cpE/fN++sd9+XjXvpmq0nT/uJ/+fJs6V//jjz+6+/Sxuuv2quy+tZ396PbubfWH/fgxu3/8
46G9GzOT/IF9RP+4T+9a9zi9/dc/YbTk0R7Z+zuXWXPeP7bzxWPXl677m2svXnpz91BlJsw612b3
Dv35Nrgrs4+2Ndnd2+fX8NO1u+GxveveBLY3bn775tG4zM1Xc/3459tnI+G3b/7Y/cDvJvemhPm7
/gGMidxDimOEhfCfXjBAaU3y+bKHsL/Hpa8wofzLx57cVWAJE379pJ6mdPfw0D52Hdze0/8vDfHs
XuAN/37Nw7jfPpQtEgmA8ufba5O5x4c3l+7OPXZv32SdfXpq7RzY7R1fXz49oj+eY/mvf+78Ah7a
zm++gXv3Cf9vl54j+r+gfXln3hzD3O0vQFvsUUmFUISpp5fYRRvvYSwRVRQ9R/unJvUy2t8P8Qq0
vzf63dC2xlZ3vwBquUeJ4krgzxubfA+1QIxTWBA7UL96Rj/A+bn9a0B+bvG7IQz7WT+25q59yMyv
2NR0D/mSIEnIJxe+izQSe1hRXwm1A/RPT+wHgL88zmuAf9nyN1sANxCt+/ZX7HG6hyVA7xPxyZ3L
nT2OFCBPkM99uPKJM3wK3j8xpZcx3x3gFWDvmvxmKEOkcndv9F37190vwppiX3Kh0CesYTM/I2qA
NVeSUET4pzc8R/ynp/cy7i8P8wr0Xzb8zdbAke3e/Nskj+Xjr6DqdM9nGBNJP5O373a73MOUECrQ
p5C/Q+F+cnIv4//SIK9A/yWz3wz7Tws8KH/N7hd7W2AV8eXLnh6jPSmBuDPKXtr3r57Wy6i/dG+v
QP0ls98NdXdnsq6863/Fhhd7nPqCMP6Z2H2Xm6M9399uebET3iH3/YlZ/QDz78d4DeTfW/1uiN/d
tyCAGPcrqLzcY4IrQkFxeXp9l5+jPcjN4Q+hT1x/x8Vf/tTcfoD792O8BvfvrX4z3P9d1pl5/CWJ
OiDOOGL0ZdcOxE7AizGxk6i/fkYvI71j/wqUdyx+M4RP7upfkaQBKwMVhiKMXk7PMWhuEvJzJsG/
f5ukvXY+L6P7zPoV2D57/2+G7L9L8NgPvwJcsSd9KrHk5AcOG8AF8AXfwfYnZvQyvLsDvALhXZPf
DGRgm2/C7DH5FXEZ74FWKpjC3+VcYg9xIkF8+5yUPd/CPzWnl4H+fohXQP290W8G9snjcPdLNjQo
ZhwL0NTYD7w1cG6kIM9SO/Ww18/oZZx37F8B8o7Fb4bwCmqFv0Qu53uCIM4Y+rGQJiSDP2gnlX79
jF5GeMf+FQjvWPxmCF89pne/ovRF/T0kOAex7AcIbxkXCKWUQ3V7+9rJol4/r5dx3rF/Bc47Fr8Z
zmfl3f1j+0syJwlFLUSl+rGvFhTqH/gTOdupf71+Xi/jvGP/Cpx3LH4znPfN/Cu4FweKjRn2xef8
+LvCx7aFRXEO+udz8vXa+byM7jPrV2D77P2/GbJXPcjav0L74CBr+1sv/HkHgyfeLWphtRW2GRS1
v82NXz+jl9HdsX8FvjsWvxnC24Rh1d6Z+6y7t18e9f+N/jKxJ6TvC8Dwqw9+hjDEYqhrIibJjnd+
NqPXBI+XgX55mFfg/bLhbwZ7YKFzbquLdFC7Dn5Bc6GPAHcoULwsbQL4CMRuJtCO6/7Zeb2M/Yuj
vAL6F+3+H0D+76f47Ma3PYj//pt9/rNtpNBixCjn0JzwiYq94Mg5gl40RD9z8i+f/bWZ9Gv36yc3
/4Lv+dSA+1IX6VfbZ/f46Rb//qH8mu7QH3eOfu3FDe/cXfTUxftN8+jfX31a5NB/vGP6OS6+8MC+
ao77D3++BfWZMKgWfoPsdqBnUfUYGvG+APPc5vGuc3++9RD0kkkCiiZjmCofsqi3b8bHz5egAYUh
5lOGIPmC1sK3b4xtXfrUZCwQAQaHodtQEJ9CWauz/dMl6EjlmEmFQUFFYMa/tlmf2XJOrPn6TD7/
/Mb01ZnNjOtgYAW0oP70vu18GYjoTFIu0VZyFT4W2+v3dxfQyw1vR/+nW/xs7lnPTxJilqNGcb/u
tJVpQ0NvSoZl0Uvc40F7mKdlKF0s7PHsV10f9Vk+69QxvzyWfeZXTuMEPiMJOn/2aBR7Pc1VlDiD
jSbLyMpJjy7vk3djX3l1uPgJ9SpdCE/V+x1tUa3VwPh03ucCa5F6NlkJ1npBP5l32O+zgFCycUZI
3XWD083gD7rN2kr3idet4t6/yg0+bg0vI1vlYTz7F2bOWo3QRLWN68PaVoemiY/QON3MXZ3pSdhY
13W17uv9skpiPSc11hnPs6AQLtHlJEadyazQfbwkepiWd5VQZ8gfel0mRHt9V+h6MrWGXsI6HCt5
0Jr5AU9uCrN+eO8mRjRKysMq81lY2fmss2ZejXzgAe9VH8RD4wIiliksHC9DfzZLNLOWaSD4kc/6
Ocx71ASjHB48Oh2WXpYEfRu3QRWjh2mqbdCzbpX7zSZjTRlUqDzKJa6DrG1vejZXQd6MR11f9MGQ
DThaLLn0qL9qRI9XcREHlVdVOm7jep+mRaInak9ybC+aZgxiUR9mfAnSKTd6kI1GoonmvvyLzvWo
23QIHfH1UBZhmVIvGOrkgMZV1NaSaxMvRGM35botbbGSs/BWHnHHlbegVVG2+ZE/L2uUJO96Y/Kg
sCpbk5lkoceTs0m0mabKBahxB0M/5Lrx23eJnWElFuxwntGlS6aIT+Wg8wltCpNfJGY4yhgJC5H1
mvMli2I2l7qmXrxpizgN/Emd+cyKSDbk0Zao26DadgEz9oQh49YpqVaGFNeC8Zsqb7Stm1MvretA
qAJrWqo8kGW+ysvqZhQynMtU9z659evehiJn62EsL6eC7ZukmTWP00qnMmXB3OUDLHScHtZ1i0Ki
Fn+TjuM7IzAJc+zeTfF4g2h3Rbui0km7rE2qTvOOBV4uNWXur0nERndmHINeFHXYFCi0ElUhcf1l
nC+FtjnqIzsn+0lHk03jmoueL7eFTD40rMuCKZtzrfKsifKBooD6/fWQ+Vyjgmah5emB59kDX6g7
s8hW+0mDA2zRpWJ8lbX0qu78tUfs2ehno54yckmFL0OZ+pUmk3eSpPQ4E7UXkCJbTVn5LqPCrA2a
76pkmTbFnGz6oaXaS6UKjFeYkFSlXTlnbnPTDPB8Mgu7bJGHyp9lqJC/TvylPcp4sapGAYsUlzQC
NYNr7o2rsptPEaKPbZkO2rbNSS3EtW3i9KCtSBlxND0WmbrIaSY0J3WsUTnNulvmj+NQ5XoYShPG
CaYBlkIGdefQuhSjDeKyv+RxAUsHGkd1gTwLCyCbg2a2LKA23RTJdMdTZyLHjYkmro571hwjjz4W
biKhnUqq22KGBeXEavH8j+1IDxObbebF3hqR4Iinzb4gxRjUEzr022ZYyckbQtzzCzphup+4KtFL
Dq4E4fwYFdXBvKTr2eWHQuHzvI0PqzLfT11zGafNRzepLjRjezTb+JR79VUt01yTeW60nyb8UIFf
BN9oYeeWJBK2H9d5Yd8Z6+ZAjAr2bBdrFo9tNCbcBdkw3qjO9bq3HuxpU8PgWXE7EUdgO06rou99
XUliAzXhalXM6Ts8Po7tXGnB8iwyMz1MeXU7zfBEkeovy9HhKB7sTZsLFZDOu8GUPaaJY3ouhK8X
wvb9zt4rTD8srf9xQLAYasOv6hYAG6FlM2RwhghchGlWTSXOhryIEhIj7SWjp8tyOGFecQG3Go59
erpUlK4YbWSQDB7WSymOoOGPhKn093tbZEEfy2mfjuwS1/H7VKhl3ZbZYzV2o47pOGk0LmbTFcM1
MXYJuJgWPU7toDr97dGYZ/H33tZzmyXp55NOX3/815Wt4O/TWZn//HJ7UOo/P60f7Zbldbtv2rKk
r+/6z3mbLSv5evhmh+t8Om31AyL0txd/jiUBc/p6jOp7lvTY3j8+vMCTtnzrM0+CY1OgP/uMEQap
Lxdw6QtPglY9TCWniimBoJ8XyNAXngQNXwSOYkHKhKCJF+Tr//AkqFrQbZ83gT5AYC2K/gxPwhjI
2A5P2takKZJCScwp85/zJOLhEbmmKE6RT117oFxW+7BxKuq9k7YQY1TxtpqDvsmbcySKsMfV/tJW
m2l/34/ztTFWpyPWuZM36TzVus6GK0j12kN/Km36Pk7ySXNnCj0zioOqi0/noshDllduU2NWBtlY
XdhiPp08CHzQP3EXA+kMWFsc1v5yZviUahG3N5Nn1jWzy6qX083ijw+8Fhc1sTAAWepNMrHV0Eu7
oZ06d0n+cbAtjqq84tpBW3xUj664jpPqzKNkCZw/u6CY0Km08flYARPgc+NvEr7EemrlZuDAl6pi
3MQc39J6AoZn5z4a8qUMrG2GSDGab2pw+pFqweUyG/OoatL3fdG40LC6WCdFXOil9tGKpKbUvUe8
XI/cpZu0ixNfNzUSQCaEN+up9MpNmvp1VFCIuR1C5aHfmORCODG940ObaCuqRXdTxk4ziXGQoAyd
zDM9aCaKz1JjbWg6cJK8EW7dZnm3Sm2FUj1U8NE4l+9i1biNwWQJ57Qd9DygSbupiLuDHLXmPO4d
OZR1SxddqblLYA6myQ6o8DjaV0XnFSs8FnqYRYH+Qg2hYd97WjR5fpwCZwQ3lIcOIn1qUK5psqx8
Vp0DS27HYJrtpElbPJa2f9d0xZH1/SSsxLguXVEE0O103CrvuPMwLKQqC1ldXkypOahxe4u94igf
IZQ2uLoiSTpGLpX3tG7OgJGfmGrqXZA6UZyxfM5wRMhA8pOKpflyDOmJ0X4xRkWdc2DYQ7wP7n2/
r+JcTzEEkIljGVVLcr9MY6Zj31pdq7ha2aqtNVMmDWjL7pkPAYdRvwgm7LqQpFPUIxeKar5Otmx4
doaF2TDkwTzXRMcxPXF8rEIJpGzjJVWmfZlEUwbvzGHcFKlIzHUaFD4zumSqCORCh/WcZkPoT/6J
YKMfFS3L9FwX3YHvu0OeTUPgWImjrOw87Vf4A59QoePZXo5iyrSaRxXEphO6KVKtMsm08qnSnRCP
VZw8lFaWAeyuwOWz07mXn/XMjLAGcIT8XgR9N1eRRW2ujR3VSsLSh8OwSWj81iVhzFySQXiyC6QM
ubDFgemcvfpv/HjKsrdp8Y/jx1ZZ/M+BsO/jyNb6SxxBcLiLQIWLKgmh5Cmp/hJHtqm4D51H0CIM
NFX4kOp+iSMMrigIFkwITrj4No6QPQmcVkI/IYeGcg5Z+pdo+izeg8zw+edv823oYduJIxzB6SPG
BUMYxAXQ8p/HETUxr1aIpCdeIXHIhspFcpnJPh/m5sPQEuBUrnFtC57WEyJIioVBijY2XX4950Ue
qYUP/olpMQ1NUyeTryGtH86nUdr5rgc1qU3DZGqWHoO/HHJc64ZISaaQgNNuIN1GzbIP5YU26dau
9sr0UjoHCR1zsOONJ4BqL8mSX1W2HK4pRAgclIU/X6ZIwi7FeZ6u6rqEVNKV3Qb2Yw3bsxc3Bg1e
r+fcDTd1pSS4MlYvc0DNgsrA6xoTFKSWZ6QY6ltSNfmtx2q2oQpBmo2GMj4VPkqkLmWeHS9dI3tI
cZcqCWTG40BZDJmVXwUVyftj3xPVieBmuKhAk4javgBGnwkzbHovZkFfNvIDBqe3BMopu+ih7fmk
hcyYCHJUigsPSWB5i6uyTdmK5b7CHnDFhM6dCWa/YS1e9YrlkD9Q0hd2Xw7ErVkLgHRhBqz91mUt
QlExxENEIf1KTZSrNF54tOBhGWo9j2RZ1EYlEt42122yFr5bzrt2yD8QZbpzJToBySRHSpcdTa+q
sT5RpKvHM+vB0zwzXjL4UdL5tgqS2PbNfopRH5/KDOe3Rdnhq0n1ZZ9o3hcQLY2flRufGCe0J+s4
32/AS00Hlcjo+MhHmTwqosQagle8KrPUNjpTONWd18268loRFjLr3qcE1e1p43kq4Iv7L/P9pA+S
v2W+l1+7vF/wWt+yX2iSwhwcDSi+jEA++4z9SiCe7MsVsPritSQ05oA3k5jAf5htDzV8UQklNF1J
CtRoWyeSlMif8VqgOu54LfCL4AFhdqBWUgzy43OvRfLBdIudxtOplH5A+6xekSHNozofgkpMbgXU
pyN6YnS4HfPqsO4mtYZDlkLTJsuCeE66MDYSXSQJjzwJLq2ajQi4n3mHsDXuWIyXE9W7x5E3XSRy
EKPqMr4kvcePzQBqyzyQZlVPQ3MCDjbKk/TGAc0ZfZOtMiUPKocPQEL8WEzzzZhWB4IWp03ZhgLh
jcogN1Z5leqsInWYlwgy7ZmU4eTTLkhUn4LSwh9zQa9H7n0oBu9xHNImFDEIaNM4TxDvq4emmhNd
+N6J84c+BDIIeWoxQoKt+F9zSosQJBMUlAKUyaF3WdjP9iat7DnmScRtW2gx0z5oejdESbvuk+Mk
2+c1uWg6fkzK+HEpKz2bM47qMQQaeGIUXy1T/q5qgC7h+D417Gpgcar9/OOc0DrMSnwu23nWsl/8
aEi6a+s5rOfe1eAD03I1OVBcG0WaEFzXZQXJd+jESDed9POAlGkb+aYXerF0CaoMLUEXg17rOd6F
4Pc3RUo78A5kDRQ2v2CoxOGES6vzmeYaZWwImfXIcdsUmRZ2HIJCovpg8doL202lpp711/3U7TMf
ZWFLXLaifc42fazm4sYknkiOcbdU70Dt8sANVkD0g3JYgonwEaTWbIwMkx87lW6mdDhNXVsEpOqc
OHax69SHli3ZA4hJwgPZqFSbjKJ4xTqOIJJkU9AtIK8meDarmo72uFpwdi1HedO6bNrAgdAPRTZV
ARvq7HSkOQ69um9XeJZXyoz7pGLruo37dQnRawO+/trrYxT2/kiiKV4MyH2QdVS0arTosDntjAob
oIiadMPxlM72ClaACGoqLCiw5XQGfSBdJPuxvkqa4a8O+/xQFHgIeJ4+1iidgoXOfpQpdOJBpuW0
30/w6BkC+dH1m7aP2w1ueXnZ8KY8HawwVwWeXVijLA0GWl9Z6ULnuKeXHjx3krHNxCGV7GMvD3LS
W+3sfDo6FQceaaegAsU1YhkeDx1HcjVnMT9ws383xXXQpOONnGkdEOPP2iZ1HiZUzRpP1NuH2DB+
KPJx1GZp4jCTzqxBhS7uC8K6TdmPjV4aeVCM6bQZFiej1qmFhu0CsZQz1Z6PBMVHaULksRzmkw6S
fa1KD0Qpm8HOrIZ2NflyCh023bEnF6s7VPi6YNMS/ZdJPzHprTDxYyb9qW/u+1i0tfrCoEFuIVsf
T6FNG6jwtknoC4PGZM+HUhXUioBIC7INE59jEbQQUoZBuaFAlbliBHjtl1gEx3HUlnHDl+IIMPq5
WMQQyD3PlRgomwJ73jZIAJl/Uoq+rViZEnqRS5jG6aDSogtzQq4T5m9yY7yDvkwi5MChMW+YdTz0
++DAkbbAFCM0qAPHCh7UhKBVks9X0rPNus+rUhuUldryKsr7+j7BE0J6cf0Urzm3vRcSr7/pIAO9
mKt8XPOWwyKmM9/PJxHyBpOgFkN7DBXAXrMEp6tJoL9c3H30QTDY1KM5aXGOsoDbroiyqb+Y0XQu
hpyfN3VVAscfZeiXptet5JUulWl10ivgkapWuoJZyalY5UnvbVAu4iivQN+GktsDMnjqw26IM+1M
Pmw4KCY6qUGccQQiaBEbdBrj3OqpN/C7VJmNQCXSNXz8kpVGt8C64VMgd1+AReiWyCZUZDwuRXya
2/RgMnjjWnBzUMS7cyVpDnkS19q6gekhzi8s64KC28PB80EA5yQPsqqZ10uKMt32Lbi8Jg3alMeR
L73reukuVdtu6tSX+6xZztqxmCEvUe9II+5ta08aOFOgW5QeIMnOICO5SgYD/HZsw6FQH9ua7vu9
Ombd2IW483iADBXrurTv87E84Ca7nXLXBbPyPk6JTIPeqVVWDh+YUY+1Ec0+omkW5MZJbTg8FhDH
a03SJD3KshGE/6bLIHOwZ3LObwpfVHqsQO4oDZuAsyiQ+KyBIlTXgdbU3Uo+BZZiGxUJFJ3mBFxx
XTY3liioXfgl05PkSdj505UF6MsSDwT0Qt9FkBKB5y89GyS0P6s7CPy+GPOoXXrQbNz7IS0eqsTQ
VUzQQx0X+SqdUndgYqxjT5JVYsSw4hOJg6XpEvh4PK173wcJJaZVqzPUsLCmZN/rlVonsoJgLy1s
BCs/zjkPadH9ReoRFJB4FBHKO9AqefdxNDWH2QLlgb1fgxhflKtsgTpKGistWqUCIHKljidb6sGm
SxhDYZKUjuhxHtbJwBXI7dMpGeINZuYsncwpLyREjGzV4/2qCuPxWMGYHXWXdTO6gM/irKj4O6Gq
08I0pR5JPodxPq0LhAK/yaDb3b0XZepDfcW1UOiqVdQJ1QYW8jrtcrOyRX2Mcb/uvOq6S/r9okmO
XFVXG4S7IMPzGS6HDe1BkYOiB6z2aTqtSrwcSL+8TbvshPEaFE1/FPt5I46wqk4yV69LKFVq2c04
sEWxQDkR2FwC6W/ggZy43+fZEe6zI1TVtyWaGi3HDgpHKL6mgr3r2+4UVwVdpxBiwylHPGApZWEL
X1Km00QUUDN264RWRiu+TIE3Vxcjj98tMcyvqftOLxkB1wN2SQX0LXFlWOfFfry0j40hNMJLCRm9
whsflKYgnXmhFTzWYHBQk4nJuRtJoknWzyDCdjQshpZvisb/yJA6pFl2lKWpAGGgIrCsm9CvstuF
k6t4S3Xb2IqgcaWnixxdQAfCLYpzqEoSc469adRokR+56tduAS22MTKOcDect2m/jg2+GtLu2B+8
RItaHmRt2uhYVOdlY8JJZN5BOpbXGXMm9N10wGcJhLWcQVoFCRsYUhlwMxZRSScL5dL0eDFQ5WGx
nUKvLT8mS3wFUgfRM8IF3Fxar6c0f2hrdppYBPKlHJeQCtB7DWRLh2PiLRsn65UYBTD9ZjmfCRkj
bwBiXKjkciJZ1GNvo6AlQKlqWNG6PYA2iRSiQJoEDTD9NRl5H5TcslVcze+r1l+5xL9rQFleTzjt
AzkOJ7yvrjEbjhZhwRRnER3oqs2TaLDyMKvbTd7FbrPAIgrGhWdbeXQ9C3S/oPqYJeCzJ0UiYIAR
ZOuPDnQPNzV3y5REIoPd2c19AJ3at1ZCzbKQhZ7GOIoLfyMceNPEregAi8AHf0QgUoislCErDAiY
s7iqexBRoOBWOHCUGeE2Gkqxgc0NYvaSHSMytnrq1GmrlmSN6XhTwrrVsgRiL8YWKCUG0RrYWsuG
AeSlxa79ObmD2NlGNkt7KOfONvIhKT2V0pNrTzC8brv2fVagS2Z60P4XdY2Eu82LNIZeAZCDOgdL
oxQ1Ag+CVguWfxGoya1b1a5gfn+1eWO1kfahi5cSkjU0hCYly4kpchbGIGRDzDseKVwb6/TQKUO1
G9qA1J6NVNU/xLyAJgzRPEAR4TTPVRfEXlwEboiPUc170NrndKWsGkAbc1THeV9ud1kTxJKdpMKH
XQaHmbWX2ZXtk83MmjQS4Cc9SLhGz1zOFqqxmZd/KER9z0YRkLSq1nEM9Yt825gQD5eIQQLTDI2A
HEjs1y6FUGxoASkhFQGkV3PAPdSdbvlwMlcfC7+wgawgoxZxCVJMcuSTrALJqv4oPZNEoEzfjtZD
kddUDEbid0XKmK4T773f9PF5K80xePNOxcd0SNdpRpkXlH0q931XqObEllBW4lAE9pNEQ/1/WCIf
qSY9+v+RR39LiBmcS/w7Cv3t905+6rx7aqR6svpCoZ9EaPjaGZ8DjwbXAQN+pdB0D04u+/5Wt4Hu
v+3XBn6h0Bg0GyHhyyO3LX/4iXh/odB4jxH4HhsIvaDVQrkT/Yycg3Y1aKbgIA/iwO5Bi6agLT1X
c9xCoL+l76cTMxIVDWOcAqcjuSig7WkczrnH5oN8GkwR+X7hbp2lw3VBOwh2nTLNu2+e3kuS+Hd8
XsGz2KYGUK+Fk8F8RxGnBko4Ku2HE9wYdAKCN3DVXkBvSjANzio9jLS/FUPtAaespGuCJm+B3cZL
J2gA513Mg3LOP4Ux0j7EZYmuF+ZJtJ45ix/R7KFp9fcz3rYAPs9AYMZccMg/oGAA8ttOLRjaS1LA
dnYnZGJJEvJpKa8HKEiQlRPQMgL1vwnlYSZiqRfBZyhSFT5ZQ3Y7o7AdrHtIp65DQebVLOzgi1MH
7aoUutlEy4okSmyenhW9OqhA/OjCbV5106XNYVGOQEQz4L3HEF+Hav33d/U9DHDyBzp9MJS54YTu
001/0wgo5m1rRV12J8bF6saCdg2NTwWGpVGbfjqDfgh1WceofP/3H7tda9/2H8J3L0GOKQh8Yaq/
/Wc7rW8+lvkTiFldYk6MXNAJKtL+xHT/w96Z9chts0v4FymQqP1WS+/dM9Oz2b4Rxp6xSGqlJFIi
f/0p2XFiO9sJcM7FB3wBEiCwZ3qRRPGteqo0pCwq6NPfv9KqUf78SiAwYf5EENbD6KfzrG89bcRA
u0vU296LmLuh3hZTpElS9TTHolqb1AWGBM3G9efmn06a9aT48eVxoiCW46EYFhrlzy+PyZjRsm3Y
JRSV/9Jw6b9U9foefNOMeTBg0tA2Dv12rgVAAVF14dtUx+N+jrV3WgJ3sFN35l2V8rBtHt2hB0NG
I63fekv1mW2ZJkz9uPOGnQ+vR34V8L+Wut5+faM/OFd/PFAY7LFsYB7D/I9s0Y8Hyg7ghvp+YZ1h
RDQvbJhGODdWNeFWDPCoLQ8zZdXHMor702IE3QSdt7CUOCr8PIXGdKnG/hc0FVdvbHDDV+X3NDz8
/SH2vgjRP3zL0BdwEq2Nbihl9X/GWYMhYvZAJ/fMPdEXcZRNMTVbWNBuvJmUlOmwCPtONdqXCcVe
OB2cdjuSAdt+rydpVYvm2td+A8OonoGq8qbb63Gakt4X/WMwVlFWiLZIZcc5S9jkciBEfGwvc2+N
ME+Mm5elE/PEMkXbpETRZucHU30lvLwtdesuSS1DcZkK8TARyKtZoAi+SKYJ1gZPgre154ifaupH
7wtbegcKePdkykXF6WxTr0nxdbC9BekX86mOTObMvpUZvnzqRzHdS9hj2LM0ANGKUci9VxDyIKgz
V9sitDCXG1oVH9GbBbyBtcL6IJuwwe5nJPuqa/u9I+L6lak+wHXvNtU9i4slTJTwygPAU5lia9Rv
HY/EN2JultybB7EBYeuovEZqoUzVXEYCO0ha5M3oDpns4xtaWKWdOU437XCrIXPa2jxIoims3y2N
TY9kiPt73538rYy5RTZj0JiXCKp5jvGZm40CzrixlsV+IWM9fx7LvvdTQyZbJm1JVAmpm3e4OOY5
1yXols3QFTTDbNrsWvxVjFre0OGLblSY8JFzKw0x+0K1hq6YeFNdpO5ktc12CECZeVLbq07poYt6
sOuE40yaNu40x+N2ccPlFFTG1MUdxM4J9KxmtW6HV1pQQsz7cbaWEE4DZA6/6j4R6EWTOyRykrK3
L1M1NdVyiJkwWwW3o9g3A4ODyqGr39uh5e45RhUJiCiuASMLO15wuJooytqiwP1wqqtZ5EE1l3Y6
1JNT3FBhB2EH0DKcaaaXOp5OwTi5OKPmonNGUKO4F24Ci/LiRuHSCTDfRH2EE86tRiCvNRugvQvc
vIp8USxIrQKJBVB6hd16CMEUTZPSWM7FZq7DusnHAruCjd+WjQGR4WPFbEkFX6OhgwVdYITPczsy
UMV5V7LosyVVyOzM7si0ZV4kI2B7RVkcWhfIjs/TdhmF0ZhMsLrRvC9p2OTFqIzYxMMIa0fXQaN3
9jg2feoTXbM0XAD2At0RzEpxWMmz1TcGZK0bVE2Gf23rpua2NeIrb9tn3jRxs3eHeKrzik7B1cAD
dTfc6ohzpDMdwxakOaHTthhU397jZuweeGlItZE93kEOl7s0eeQsJk4jDvL53EQap7aFS2WABOLI
w+D6fp2VhVvKDCY0DicLR+xPWsNd81ZX6BzOIrwBMLu6AQXq2MzblSyEEEmqSrgZ61iRGVlUfmLN
Qx/f8mLmXuoywYEZ9dzAIitqb+P0Renj7QI1zx1NTbenzJkhAMUenZP17yVOzOIWp0/pCjhXzDKY
sJn1AWZVp62E4ToiF8e0zLAkUp7lPuh6JvIS9LEGGQX26ezLFrekcgwr/EDcAK7bFIw67Xs4IS09
CA1VYjPOMF+OsO6nB3gn/ou/FE2RRA5O3o1sl9DNRzDYePPS4U0G2bAaMTEXOXOYeF/PM3YWvOTq
fvSD+WM/UHenwrks8qgCMoExsMDv8euOL5t2UM7FLL3r3Y2T7zw4k4W/AZtujNLJ0eGSK9JwthsW
QuY9SNuR3DArjJ9aW6wnJ+di3Ib1SMfbRXtTBF1pxrGhc4s31kHjcY64g8VPLiShJm+wSg5Z5MRL
t4fHVJBbDrqgupKojb394vFZYkif1s0nGL5bv7KCJe/mBi/ddcaoBHTsZLY2MHR8+PWtwyda31ff
OBfPh35zJ4WPrwrqUAU8oVK4dPq6rNhdO4S45AeJXUGJP8OaSqaW3gjH0wPiE5BMcbjnYZGA6CkS
GsyWYoFZAsol10qQddHAxZTiE2EBWcBVYJ88tc1TQdz4ECnGogREeoXzQpfBy9y6eBvLwPXVnRZ7
PJbY5vJjB9mP30e4W2zH1nYuIi7Few/OtUgopFNy6CL4pceCdqXK9BCKGRtc7W57gq81xfytP1V1
5d8uEujCTthaVc9z0JTjrims5rM28bqGMFHTDHNA5OYQ6ei46YMmfrZsUGUAIUqYah6WOT3M9Mq6
aTzGzaoC+GQgJZY938PtiJIYbLGlyrwmLS4TYxVuvPfazhFvDRZkfYgcnFL5vK7YOfctfKML2Iwc
N5lZHJ1BkiAt4npSuNO6ysbWW/APQ6ziB0tjm34w8TQ4r9PYapigCPmoPZsJftUCXNCkHrDpct/j
sMypVa1ObafUdIb2Ut9zNUIUDMed1yzK35k5wMGpbGc0UKqrrjsD1fRO1mR7XU5F26hjqSFqpJE/
NvQBO5Hx1Y5bLCNYOkeVVBRqdxLPiGDgLqDFfV0Kh71zOuNGKjHYgenHfnKtGL9sLIachlZVHqyi
nz/S0rYU9IcxqPYstp27ZbQKoM8SOnfOjMRJysjEwXhXtfEvTdDXNURIZQdnz6HekmrsbsZ8pj2O
2hy1rEwGE4ICisaxzp3FXaDL1yQatiYSOPsrbynDTCN4A/mlHwPxPPvaeeB0wLmGO138hHO9GW/b
uHWwwJI+5puoobB7F/mewB6NnKSqVPjok1bM2eyXk3f2ijpSV1GM8YCbO87ovAfIKjYYHPRyYu5U
dadw6Kl7Sxa7DvYQqGN8rmWxynM1WHDTwdJizcBuTE7nui7w/oe4KjcjjSqazYtt77XwcN1reE1I
nhQ0PH/Zlf6aWft17/w1dfU9nf09rP2/ob7P356r8TP2/cMv+s9jw9eR7q8dyZXtO3QvQrL2exXm
V7gGP/pNUwEgHjshGGQApwBbVgr8N03F+cWPAoziGCNDD6z3b5oKntaBKlDk7wDaYfhCYu53W3J9
tIPz6y8DeuP/G0nF/TJYfD94+BHks9WZtDFFB5AyfhyPoNw0y4LF+kZbKkCWjUhHQBZuI74PQIjd
MA9jOw3pJfCHLVgx/07oKgZrZ1/dwrtWg3zr7F4ky0L3XKkjDZ2NcuWpgqxtKXOoW+cUtU5mSDjB
818+6t492TVSTq5sLuDnN0UZnkZqbXCrv4Os/Bjq9tlfpjQqxBtsW/hq4Ot0u6+QWaIW5NiAuns/
ok+Dxirm2Xe6qi9Ss0zF9mVZQZY4wG43MmDfnHRm5aMvQLjiE+X1MH+M2XQu4HVNg/vBLeutmlaP
KthMbnxUnrgUlF7ibtlA8ExL2l8kQUKlE2fcqp9Dz99Rx7nEwFesqrvhDr+sWqeSAClGk0EMeR+z
8RaKzrmcdQpFfevNMnfrAFYq+O/48zjEK7c+y5RKieU6elm39CzwnjlXe2uMM+WPSIiYrcV51vQw
cvrhXo9Yz4uF3ZR+uIPYlTk8eMTCuzN6vEJc+ghHFQxGe6GFOKkAs5uRh2bQO6yZSVj2n0PeIzGG
KF0R793Su4Y07JPI6ndT2LYIis3nSobYiGlxFEX14nbeNe6DlLJCr4PfjbSmU0mazJRqP5g2HUPr
yuMFu8LiyVtp6dUTaJmTCIoQW4XkIi1skYaNOLOonjfBLJa7Wssi61jwEqp42PZi2Ua9D9xl6Z8J
6WnSzMvH1g9irNdDaYt81PFssLGOBr7jQLb3UzcM/MYzBlg094LW3So8aGcTOzOO/srsrPBOB0Vk
5QmvVTf1hzYYVDqusA8cZPe8+EZlSgNjrxeA5zH2OVnhGn7Fk3O2FbHHBDw0PHlnXPdTUY6PtM4K
xsCzBSjDe6QJpxVEkiuShKkCShgoJeZpsY7sS1JgR7/Bdr1PoVViywe+KRomQN+B1AkH+8QijRAp
/zyvUFRskQcLlFQXuRnolRtD/I0Higog/ZxVgJM8IFbMeOeIT8/WjJ87DyuKhb8LKKuXsJXAabGV
1+oQ8VsBrl6NU1KsUJdZ8S7eex9L3H8Se0W/MGrDePfiCxsULK+Fv8YWmB3s55pUrfBYRaK3so8/
tJo8+qDL8P4pKBzcGfWKnrk9aDK64mh+y2nSV7CDVO/sejBrbsRuIBscYA48eYv+LEP7wMG4IYiG
kJ0lc6SOnpghMD5qcdFggzfNisiRFZbrQM21/eo9II6QE6rcTHouPHSnfTdzg29ZNK9WF3WJvcBW
DyFJbXi17Aur3nI7Zmls1HvTwb6rp+WG2eFHqpaPi6eQJ1vg4kLPBD6lfPxkvSujwUqIIGDhsdkW
LtkWHXk3CeAJWKZSMfp7VsLTlAF7p0sXv9zyPrFCYFKDQoIB+KMlh2wkgU6Xws6gqzy7AKRg4MMH
JRKgYVWmYABJ6k2DTMzQP9DZbTKba40UHo77UhTv3Bo6QNEXIc4vdyMqS8ASnXGJsgpPOOpwWQ5z
NOLtuZ8bG165Kso4kT6c8gqhxrkRe8ZMgPemDn003iwNcAgN/Sxq3P1M7QsF09za9mGaI5PUVhwn
zEKoUtrLqaL2/VxOR7+lD5hGkJ2DJdMOXCWRN0PaWawTk9jVtLp6HOADg0Dswww2GAKHlFbtZpjH
kqZWV3iQWCYbsU9F9x5YOVorL2lBTWxtoxFEaRFXbsem2yySHMZK3/XNiNnVWeo76Mcs/X/Zsfzn
7UVWmOiv9yLfle7/cS+y/ui3vQiSBIiAhd4XrfFrPP/bXsSJfokR2scU4kJEh0j++17E+wWkLihf
5FUxT35xhX73dxArQ5rf91F9G6EP4N9sRv5EqbVt7IZcPLcKSVb7J3uHY/iI5jbmF9nkBkBNQbfe
P7k2ZO3a/VnPRpABeyr0MBO0eeLr+V64FwWra9/4/DJ1nNVIJdvtqnvpKC1cUuXchYrfYRw9hWUE
TaKnPK1NccTAwK92T+9qFm2JT9lptm2Z2Y7lp06EO07tMDu1S7qfkaCTip6Zine9dE62me8wsZ+F
6Y7L4N6woTzYvALCrlaL0xbxJlyD2QWS7xhs4ldngS4CTQh/OFXQXWv5mfnLgDh1AGwCfCcu5QI/
v6CCIIFlAwpyhoq+LWZgXdMKx/MVk1+kATEPmQCiG/GeMGiGkBR89wPk2zGxYGtsmV3RIKdSIBnR
aVE9d52jMx0hOLEr45XId77Q+cqNLgH2IMs2XMH9JYgo7gpu70ZPhoggqwWBuGVhd7h1uhkyeor0
G8ZqxPybSRdYs33rJhLEOuP399manq6sRR47hP6iDonuAKhoElNSZwMCDzu39qqDXEQQ3eL1RveD
r8twPBLdqQ4utHvtYDktt9ThgEpKHSM4HIQHVcryvR043rPC/QFcgDb33tRKb4+koz+k8Dxns4uo
KoLUnsf4scNtNwlar88taXsZ6RcKKxphZ1GWeq8ASYDtlmE+4Ts/oRxgfBlpeVw0bp16iUgSCwja
pHFybP9ZUtZqvholD9zWyA12Tnwtte+A+KEMN/eYbrq+sdOl8jLVOVko2HPUgMPAoVOg8ZgBddqS
9bZig3RZ2AFmCNz8CZUD01Q7aRsjfTZSRbCsQh0KXLWbvTbM6ELGO/CuTh5ZzZm19VlBAtxgcL3z
On8fUYlSiaDeoWqjykrXvh3j+X6CNPBYqiX63NmgHHiVBfMSfO6YzPxmzKpCOA+2JTeIWW8Q3avy
2EKAOhpRXQAVdgz613Gc3lo2vGmunwS3gEqrQ7w0GywgEELM1lvss45U5sbTzvHJyawBn0F9RD3E
WTTWpp6d3B0EtCP9qZUmKbtP8A2cbA5qd7tAEcsqX733A/axNoGXw8IYDxNUeoiN5kQagm0sOQe9
RJK6eg9nDI4kNihtFCLAHWxKEu2kbd4vxZiXDRA0YYvELUrk1KEQ7bkPoxNiZIYAwS0+49WXEsQP
M2XGhmJMPWWzM/WCKqUFuZvwxMkzZPMjkDWczGv8XiDAVBXgdKJGH2NcRHYXJiQesiWKThFGHCBB
z5ZBCtUP7yUp7xB6OoX4f0XiUyPVHY3ZocZIQAoE0ctySYiunITTGRQ8PLW0HOxLZVUfusr50CNW
z8bq2NXRAcUad2Z2MuhHGViJM4KqqaiFPpow3MFrppDL9CdRhTtkgbJ4wP2XIt+qzXxAekjvhWnb
wwRipdEFYjfIrma6RL+Av7jVVsT9thgd62q0Jf7BSHTcP1nfVycx8m3MnAh4/LS+U+00ow5qdulE
RYD2xDoPla6yBttA8G/unIWq2JQdbfaYe96cXox3QlT2Q2QiUK7LcpVrBcdSZFUcPtvLtBU0+Azl
r4QPNAx5yQukyrS96QzO6bpgaVcA9Jw59j+eUCQLo2mnOlA7oZEpUrRPJKQiV87kpg6wFqBl6SzS
EVNNX4XJVLRbhw8AjdRtTbrt2ISvum7uZcgPUL2PZqwPQpJT2HenaCTxdpqhRo+a7ciCDo0Ru5ug
sLoN9fgWoG+YjfZ49bR00p4GB5sizT+5pX0qJgexzWF55Ax7pziQAucCufEYxiwRrHtMVp1Vby50
5Ptq9rf+jG0+q8W+aDGJywi9I81qNE0898v+BK0KlnwLQbmej7VsdrivDcDbwN11etx0fLipeH3F
Q2hQDYOQSha0FkpqehuNKsMtQxYga8yKHQ780dOeSMqFvcR2eIS7BvgLJ2g0mA0sgFcAelunB+bj
Oe95o7PGRT9M7O1mrEPu2L12cXiyBQCBMrZeCycwCQTXJJDjklR14+ytfl3LphMLg3fErjc2hFcM
pdV73RAn5aOuco+WN67xHWBVBCJXz6MdhHMJXNWdj4yJ4VxDyN5/t3v6E8/4Z04Cxn4AZiUKUdcP
emWVbL7fInAzgBpQsLwLyTKXHwbyT670ajr/rrrgV7qh74CMQbgGxHfk/NReBJ8bIZG4LC91AMs1
uGGS7Vh/HWaOMwGR9wBOEs///lOhbfEfXnX93N8xC7KvJgC2lnVGYc/9+gSqBAb4Pe6K70oPew9w
1jydIv85KNy9km2VKhiUuCpQNWIT1qXtYN51Vnhik2enUH03dTw7HyPqhVlj88cAk19WVvoY1t57
9JIsB6d2A4mzqe1yacI2j3pLZE6vojRstd5LWC4fu5YDCjQNRHXGPtU4V3OYgzTDCqyzKQrsFOrK
vfRqs8V6+ChLBSy3dG+pnl7R0rHDTelhHIZNsOrNxOc716ZWzm3sUOq5bbcYiexUNAHiHDNYyZAt
V0JbFIUwhdmqDBAG10ec9J/FCHwB9Ur7wbN2evYeFsOfEQ0/+JAdUJOCzRor3DrlE4g7UAX7yvAj
mSFv64JkmOZs3GAqrLL2swJ3iDR1c47osm2HOVeFwRkMFWAqYUxifO54EyW94VE21MW5XytAoOw4
HZqLonK5pxDCkqW3EMgBIOi6GLFMOG2tnjWJI7uXoIQgZTcrh58OsHaQNzkoX1mJ8t1d2EZYEZH+
aTVCSMWyZIiSXvoA90je+/th8N4ixH7SAt6K8L1t2XuncK6/zmJ/DV780zm+bsS/O9vQhhIqYnC2
8VN7W16sDaSlp3lr9v4uOEW49aSfyJz4B+fcfpiPf3+ur3X9f3KBhUhEAGVDLnp9c9+9uNPTqK0i
zzpDqUjaE0n7DXQO52g9hxs7tx9vrPT0rHI+JuoF/6kv+mQnB7YpLkDrm394Nz/e+L5e7a6N7WXk
ru21a2jl+zej7bnxHIfTC7Vve7eGCfY8qN3ff+If16w/vsZPlBAqO6RFaU1xc30rh12s7/7+9//p
ZwjRBxYilQkO6Kej2SwB+oFgX0PvvBUxrgcfe86vK9T/teHwnze+2zjifz2+f33Yzh8n9/Wnfpvc
418wruL0QX4JvXxrB8C3yX1toEHAFf985S9xqv8etI3hdOMRB9ht/VpO821yh8GwBnfxqAs80MRb
ec5/Uw/wB34Jz7QhmNpdQD14n7jofjzFywFJEO5G9Y3liPd46DgMVll/dLS/rx2EBjjWtXGQeYgE
ra3QNeWWp1iLyxxhyi1WLath4ksjXjqEKHnDfmljo/VtXuvfIhRBparEFToVWWB1IBWc6QlFKX1a
ozmOrhVyyhp2dTW+NMFSJqgTeC0IG9PeQhS/9Jfjgia6Cs5Guo62GRDwPNDIAjlrcZ0tLYydjb9k
8PKmNFwL7hBrDNJpLb1r0X5HtO9nBH14cvFxzyynd+5aDgKT9bWzgwOgPTScrXV6pUKxHm5OiU8h
xLXo3DOx84zFH6P8WsdHqTWDJkd3AF/L+kzZo4ZmLfALC4wz00avxX4CNmdC0PVnaHmGPH/sAfxT
fKakW2sBG0KuM6syiAdNXqE5sHDIQ6HraaOw2UvwCCpgmWvRYF9Z6GJD92DjakSZo/45WmsJA9yb
ZIkIqWDl/UR4/wFswZM2HlKVkBF7F/1VtTMDIBLDBzQp7jE2bpt+DhJP+l3iYZObSBcTFS2iMy3J
kyuQoJZsvrFAn+ZVJU1GfFPmBlUl6IaLra3Vyatr0Ve/LrotOIbUAZ1w7IKXaXkBwoEgQ/Ayarfb
ysHe1hLhoKFHhOkpdmh7X9t1X72x0rzOC70aF0mkUPaYtioA+tHLAAumwPkNfLy1d8tEuhsyFPGN
16D8RiM56sUyb2fIv9MA9dOmNkspgqEXlxvYpqxr0FTjh89zi/GDNfTsLt0bXGGEFLoyxngKrcMk
Xy7v/65zKxX+1+scLNO1fHh9cOYfF7v1R78tdmtxlg3QwUe2Fo5pgBXtt8UOT3RAjtOFcOd5MVkL
T74tdl8eeR9gsQNv/mvd1rfFDs3yWAhJHGDhXO9d/6pVwHN+3Ef7eAU0AMQ2boRYdGHq/rS5AC7o
1PXg40yLBvQvIQ2UOvMq7S9tg8Bx6eznotrUrt63TYsmE1hX75s4PDSKbYBUbbu6u4QoxwDfcQMC
BJkJNHDVKN851SyEq8iGJ21774Ck2hkCXYjKW1OOSfkhGJBvRO8Aru2yQryfh3dL6WJ1GQzv7bzG
brnLIh8dQw7KhszaOgQbU21B+dVQIqIW0vxEkeqIc8MHaCGlzhwUGJmiQ8/Q2mkk13YjC0LTAp8W
44HhmOhGHyITFjyl7EdMy2iO1PlM0Jc0xQiKoAwBHUooUwrWVqV+7VcSa9OSVEjdw61B+1LLP4Hw
inK9NjPJhlYwdOnetF6xr9f+JnjQedda9hZrfn30fWs+gd6CyomCK/Q08UfcHBBBAzqYDiW/QWFA
ulZCJbPxNlMgH8DVBah7EY+ocb3phTNjyzxDgmFi44pidVlambVW3aezZ4sUaq9GalKe+54jW6W7
emOUhei8f/BbgiJNdY05nC3wbH4CsWUXuoIDhmevChZi2ZqLIY2CBehh4ePDu3qy0kJ2MqlYf0KU
hSc9nlSBfKxMLQMnu1u7wsaOu0kPbAXSDRK4U3BXFZomLsr8MoLlUnhNtJmt7pMgmHThRF4I0l+e
sLad3Zyaht04tTy6rkGLqjceBVhgvOh4K1iA2F+Fr8ZW6DDzYoTPW5TZcrkVwj2HPoXXHXcWMj4c
xKXTZlVvbQEh3VZLN55NJSYcPTakMgqueGTSOUYwNR+0WlKvQQSIVLixuR3Qu9qbxpwjYIrBqsjH
ckSby0I3irfn0is+aKH0pkauqhzdIPMn+8kT4gNHRjZzap5pMQEoZOVdOTsnZ1mt5AU+Z/w6BHOf
NWrEdzgG+1LARIaQfJrkeMO6UVh3XRfW5g2UaLULYeXFVf9UFSVgXaOO42qOtrLqD3yK33eVfZ38
4TXqdTqIFgNWidhpkPXjjOY7azPYBCIavbCuOywckYGuvgUYWsG8RxywLuS8Dwr/swksiUF8dr0t
k0WoEq9V5p4E5lyKAe2ONZs3KCtAa5wb4HU9AFLDdg7NmOuQ7mbj3g7++9FCX0cj48c2dpKal8eB
rELN5MOcc9e08600BA4yvDxA3XdY7OD3TRmmiB55LnRyFaK4dcfpFPku5PJoOnaSXRFLWFtJ7k0P
QyAYpAt1j/GEQDrG4UKJaVw67mYAcrpxq2BblwzlqjX6igmhETR+5HstiTOn7WGBt2hXThrT3KLT
813otZ+7wX5tIlIBd6+fTFuefKdCO4rovcx30V1qD9AMgRJ8jFBZdIormBwLJHRt27dNh2wmCHHn
ZnbrN9eAOYPx8SZHwJzYlF3dWfd7t1UfnK7ZCM9+p1l4jmroHBASsmbB9RJ5o7ddULTcoiUI7jc6
MCIN27PL7H64jRla8wK+MWOvUl8UFx6uMlhQ7bBNiw+h5T9GwAvwyip1Y+/BQW3jlvrdmBnh9Hm/
8CUXFjkvuAxuwy6++nrcoQCVpW2tUAhak4RARMeOwCWJH04ZPivy6dXopQCfX6jokcvTE9oOa0Bk
Ufe5jD8xdBRCdr5W+E5wH3BSUqKQb6qj22YiG+gQOIqq8hKYvEOizMzSWfEtFQLEB69h3kzWK+yo
PIoqkfl+eaj98kI50qKBZOroWU6b44DqnU+W6wKpFuldqOgdQ6lH1O7iBboB9L8SIekFyUH0IblH
GkcBilTCD/Zo2B7LMfQ7OLilt2wsKu4JQzmA0QPYlkCiuc4xSVyOnxCYYei7creDH6J6SohzOcJq
BpZxL/3l5NkjRwcHWgeQ8fer/jJ3fb3vnfmmnJarjVglQEa98YPw2Il4ZznW/ECNlptZkrcqxug9
huFdQ0Oem9q4/7V9f+XI/nY/dWXqbRjZ69sfd1NrjcW33RRCfdioIC6HgN4XXuy3zdRqByM1hf0S
yvy/tjd920zhEfRA1VCkgX5Sz8UzD3/nz1w8x2MdJ+Gk+eiF/3e1GPGPugJkb8SKVm8Z2b6AAHf/
SQmlpIVuJV0UoHdC9OHJQq0KRZQWZ1xjZ7HHq5tYErfK0MbgyITN0mwclGmHuHhQlxlhPLiRnbAA
RCzW3gesfJaVpbOZjO2xKeLmXrvtfCMXrz+1bOo+gf6eD6SZq3vPmYcjgj1Az6clfMPE6O06Lyo2
UP1XpVBM3QeKpyDEiaXQPTzMfeLFNSghByAO2hU+KhU4ny2XmSsZAybTGE2dYCacGtFuIHJ9IFA9
xLGa2LxJAdFVt00jiweC1rWr/NJhZ3Mk5zBvfWm3Mz3orQRlFhFq75wQaBJeUNoKlXgKAzz8M/2l
LQ8WurobgMXNNtqkUagHLA/dekHQ87zxgd8/WiBmmkSoCk18CyjoIZmHtaHPX8v60Irs7r21wM8Q
AlMEzTtDD/B46qHNtj7NbDXE/lH17vACcyrAiEr1WhVvIzllCQVHQrPWdbfagSGhKcpwsg4dI8YZ
VbgjCmJ9F/JPE6/poYeUbM4+F9M+EhFTVyiezkYPfotFgOLERDAhBtxnbf87YX2tyYHu99cT1hOC
vfLPpisfP/bbehChfJgQWBA2APAfenLwBGofZZIw55D6xGrx3XTl/QLSGhLP/7B3JtttW2u3fZX7
AsgANuouAbAmRaqyrA6GbEuo6xpP/0/Ix+VJckbaN400EkeWRBJ7f8Vac9F18cAuTt7vnBz1D4Fx
ysAJKMMl+4cm39/PA1jJgsRG5kkEsS4c018HSaMMQrCu8+48T4lToZ7iHiLLIPvagv/1dFpeljg/
VjA0cTb2fkuDyc1MTci/m4kVNPSVEWvlWe50+yEJK7gsmYlmYMvZh1pAfVcONBj777iQcR4twgI0
KsHHsoitfb3IDhQzw272VYuAKkF91ycY71qF/l230L9rGAa/6vt1rBRs/rU+QtshpTdDnDaKF5Vl
IfBipF3vWFIAyzJq/BwiwQTpypprmSnTZz3VhrOplekNx0GZOqwn02ld+KMKeQysQdoUA4uNoVBv
5F7Rk2Ofxjd1mwzYcPIRI9SF6LxXvSm/5FWAvU6+N/tqi4l6o0tGsREyvwWrBc/W/LWdefqY7XyY
7K6aAOxtCABIp+qNYIDbudTOiijfOrW/A0eHup7m7KOZUGTZdDsnySxranrd2KeRfSoR+nnzLBr4
nJL6pmE33CJThwLaVqWX9Rx2USrpnhisk9ra5yanFQKxAOwAmeCGyIyHSZGeUoEuEYMp5UjbBsJk
+oS6JcDj5QlLjjxLW/4K6i0lMeqHWms5PQ0rD28bqOpeZyq1Z4/y+KSl0cSrKAq2JQn6PU2qyanQ
59vKaK19KKHr/enZ+5M14p/4rfnrdICGqKpMlY/1r5/laqoRkoxWfW687GUg0eNuvmPnvqocYM1b
qPDUcl62Mb3ay1mEaGvVoyNwkv/xWf9tOPu+G2BsT3SerssyKHDj158D7dDQoeMszr4I9kiNRicJ
KhJEBk3g+Ehsr+p9mgZh0KD4lnwKzNrfK7xHRlJlzmROZ9sHqmaJ+bnFprBuBO1925Zr35qfTd3X
V7EvIWCaxw9VWqKDqCvQaA2tLvAPsVJCcCw6aOVJtTcIOp3YR3XJRbuadXs7q6CchNhoGloZCLIL
5FNzaPy38ai5haqB0AGdPQzBUfgAkBMkue6yic6ymAkEZMUBIMmmCmJ6bDV4CIZiq6jZqRsteZEB
Y2vig2balbbu5Pju79/iXw8RXlliKQ3ZNDgv4e+q79XNT2smexaDXWZ+fZYJathwEDAOquXcQYfh
6UWkoTsIXv7+W4qlIvpxcP339/zt3ZTG3qx7qoYzdrmPOqEqtEzgZxoT5053IlZCXgUGQxizqhw9
RQysgypAfgMv0pL0YxFZT3KE14eO+81PtHVJsS8K4yr782c9qJ6zIarQtFbl1y3Yv1NPjXfgr+/k
uyJ9+bOwpeWrvl3JDDzZwyhMLbmLvro9fhp4arJhqfhD1K8Eje8DTwu4hg3oXKDKVJGY/VSjg1FV
Udghs9EAVCzAu3+y3bGWS/fHR467EsjFgpLGkaIbApbyrweIBowLj7eYbqw2qC+M/7LbSCnNpyLV
xH4aEhQbCsZtq+3lE32+T6/bh66i9/OjaQ/tHS7AdDPPSnQw7ML3TKnlxItg1bCHPqdpaJ/6BbCo
L6hFVit8fU954gKFtBBWleMWjNl+FDMgjzZETlaqCXpsOd/E+eC7hPIMlLDN+JyFYbAvKgb2GmoY
VywoyMaySgdv3KMtKidM1ZfJz8x9twAk20IaDvkClaxRLTrjApocU5AcC3qyiwAg2UbF1gYupWqI
dlXYKkAvOZ5bzs04fi0nZdCueLvcap6DxWPxMRzxg4LVcaJlJAVPyCGHKNmJ2R6cFtbTJVCCJzmZ
9lGn1iw+8qteVCA05VbatEYw7+egU/eEBZheyihUkapmh9zCdtEzaJskzTWvF8LfGkpvrSI9SPYV
u5mVX/TXuSbnABDGEkagzytJ1xnWIZgXgX2GDLHg/Xl1JNbEt9FQqi7sVOWmaYTl4sIud1XY7PG6
PNOEAfFMcQxAMYw9JSj3YVChXCP0KfSkQandVErktW8o21iTVpNUB86o95usTTB/z1350hdBfIJX
9IpHBnk8yK9VhijMHeA8oda6M1RmASZrsmQcN6JPH0U8tPaR8CQ8bgJSaKVcCmE9yvh5nVRlisFo
eBQtwsJK93xcB9DN0EWgNQ9OTaMTd5Rnh0ZVXnW96NaNMdwBo4tXjehBw+AI566Qb8zA3uZZselV
/RiPlCeDvAmVDsF9GihItYzL5DNeCqKbbI5aQi2yta2xnpz16aSjWmWf9sBaInXnUTsYPhRrzM/P
mag/qYMCf5DoAoK5NoU+PVSMxtD4l6zsygYweo6h/gw+g+gmVqjg8qjsHKrwOlwDCzvaQOx4KrIo
OSo0awQuTGmxJ65ABQRcj8fAENHu/Qz69zBezqa/Pozd1/T/nYu6/ZORyfKF389j9Q/4neCs6Y5s
FFp0T9/PY+0PYQvcyNq3vfm381iDgySjbsVFB2WEU5mv+s8CSgNNasmLrN0wUJxDKf0n5/HvLRL2
P0LtacMW9r+myb+Vla3fxU065+KSF+NWTiKU6jCG+8n76ZX5s/L1N6k8vwn7NVOTbYX4PVvo5m/f
CPgFO6MwGS44gZIdJDlL896NZRFm1EKwgpIGOMZKW9zYU3eskvLBFLA2yqYdHWJXWqIulOTQ17rt
qoUNB4aZDQdTuez866ehIagss8J6hSLKd8ImvSv5ho4o00shI7JiBoJptxKVa2GZdlQzW8bV1qHK
RseO5drBpjUvAOutqmJK8Y1+LQgf496wFbdBOl+a2gfJMk+21gHsVdSnUEsLVG36nSrUWynDMyfp
5zZCoigPjNFBJ+0wU58HP6MwtxUSZVCeykFP4lWItLbr2yue7DVkpw+2Vb8SU/IcZNPHeoY1ioEu
p1OKLjqpVwZP8xr1xdaw/XrThAsFuq4fCiPYRpYWOGkYHsj++ZQPrGf6TC7BfLClT4uxdCXqOZYt
Rb5W2vlZQR7rzBq2N6smkm4Z4HN4V0byTGvzUDfBqRizboWw/tasuo0OYxGTtwRnDlDGoKkI02Hd
OKHQ76SJ5jFrGRqb9rPdZrDwRhfUKddqpyUrPhCuxdnM+xdvErN7s8g5W8mGfpJ65G4yy0y3KqCX
0hAIDIzj1GirAWbqOlHSC+b4eM3abUOq1SkIILq2iraxe17bcOA4lAzQ22WFtQx3OSztW6CkUFTn
5jEy8NgFGKVXapveNUO3o4ftEZTLnzGKYgkbpsc0ivTNqM43YsyNVRNiVarn+gt07y9iSAHgkKhX
pPbORCTjJMOwyRL9mkG94Ug2jqaKltZI88+sScnRakInM4p7gx7d1Soz2Q6dujHNgcPZX1u5hmWb
jxgnuDaEbFLD6iWPi6Bez+xhJ4esR1o5eUwixKuCPIottn8AkeawZiSHz7Cqxz0eE9SIE0s5X0FQ
qH4ZZHsX6Xhj56JGjp2U/WOiq2hCgkGBhqhHSEy6EeR4EiNtL7Wt0icw2wNvsqoX34hulUR6tdi3
slxtrljqwvtJ9Pdj0LRgEwa3GBIEtZmeIXboj+ylC1dqcDNGSe70aJF3xC4MH43YbLwxKKG4y77T
UFnhsl2FWnOE1un2bbMdhvYJBBAmD7ID+1gGJVGcEoNHVs0TdNA6aY7SbiY8ES5oGHrzOGXruI++
GAMDxnhgyTl2yi3Qks1YtK/JHJARRJhQbpRP5LZl9+YuJD0qadFYGubLGMvPXLAEBaU4XKf0OdXu
+oGEDsyxZQF6UapXcY53A3GwG9pauwpBFbGZ2/aY5kDuFqtoLvuNaqIilZWE17PXnnMN28VYDK4v
1TWSlXLTKfnNVAwf6wK1XzRpj6DXrFMpAcm5B+3kBJZW+9sCM0f6v47RX9UCyynKdbG4uymdGQb8
rhZomkbV/MmYLhiCyRXY+PvxrjixAV5JL/kHTME71fFX/qF04s6NN+rXm/4vJ11Lbf6jdv/Pt7eJ
h2FYT/X+u/gQ6wq6UKObL735Uvo7W8YfPT5Lxf+aqP3Z9yHfexkBLpDA93nbz61wy51FlNF8UaIj
nDhsS692sBuwUf79tfTuSP/9F/r5Gy3Sz5++UcdIvhGojC79unkkasnrt/IXwh1hAZ5QCQSr29pD
JrUW24ez5aarc3+K1o+N53vXeD+strVbH1uX/9Et1vzjPf79z/fr7fz19eb95o5WwCIiI//1x6sq
DU+zgtLT0A+1gZ6K3Cvtw99/D/Hb3OH9M0WaOhsafGw2IpRfv0kKb0vJJ1m5sNg7+1cUrSflQ7AH
UUXurDut9h+Vzeicq/Ww1XUnO6AzuKJrXaM++3f39nX3pvGa/3UheUeAcsbk5gdJ88dXfa8iBUB6
kAC0zkvNtzz436tICkyEmQSk4ML8upT7tnmz/rCA7XGSE6GNvmj5Mb7JmOjqlzGiqb1P4IF0/pMq
kk/k7ycD03UG+gxJkZRidvht9YauA2WdHMs34r0TWcbNDhu67nMdk4WnUT/JmZ9sJR9tQazYj37b
M+QDkcyq2vzUZumdmQ02UhXhdhynqGyiT50k75q+OiZSDPRGJ3QMhCv2s75dJ6ryTKAZ4XNiaA5Z
Ve2qpaiboxsoZruMIQD+4JVSNza5lzHyDkJIV1hCt3nE1niQXFMlLWIwCqeQ5gt+et9BiHEr1Bbm
gik5YIRBQUgKPZd0L4UoWnxY0ivw3+vANw5p/MQA+BkGWbeK9fi2qWN5VVeNo2T6IQO75MUkZExF
IU5yqd2ECEtWsqIdZr0893l3sBr/S2ljOhHGs4BffdVGLN9B7sP3bZlHC+njUOteYwnlpYZbRcyK
xVSufoyE/CUw0fPTdFdUIekDxs0vnMr8IgSAJIl1mtKAQoPfwZeTE/fZSxMXzbr3k8gbphbHgKj0
Ta77UGIo1more2DIctN0w3NmtIhDTHEcrWrTapiY7Ay9bc+WzSLnr/L1m0Sg5Fqcjx2VhgPL6DE2
7HU36CfiYjZya8FHsOJrnsmMXfMRL9N8HBpL9ga/fIpCXcWzhvyJnvaxaiZ0l0n7pM/DYVj2im2T
vRVWfaJhCo5kMZ9tgEtu3hoeeHGykFuxbXwqu6YK7kVa73DQRo5ltvZ+MDrcb0b4JQ/Mu8CfNhgv
R1D1JMhCOWPIL72ysz3MRr424vYD/22bF+wAtN5CyIK6dxXG7SVv4vSI7fDeOBZKwt4YKKDB8+SG
Kig9s2veMqXaxma9MRhfOGzPgjX/IzDIyisL9LJyAiu6l5o7pa83bGM/apOCiIbuvrT0Q4PDBB0w
i5s8z0j4Dqc1aIa11hIUyZTHm0IwGnSKlpPMNQuPFINk5reeAC4lguKQ6BomGdyNCZMtLRn2cdjG
TlhP59rmtdf8QzvrFAJWZE6fKfvrD2HeLqFeNvYQo8jNW1HKFmh0q86kq1za1S2suizdKGO0Jsh6
nUihseqE/0bU76vPQs0JicyEImbuzXx8bIz6U5vgKCuL4soAZCOFyVVBumFhPXVU4PflSLqYavYY
ymT6C709K7hv+eVKrzJNaaWO8bZoR80LSZwl9MScHUhRmVNGmduCSVGN6WU0BPrn8dnyGdfZ0wNv
NLPmWNpNkXTMKyjPibTLEaYZieIEcera5FtjGMNQmpPezc09afNeLdsP1M5uiNnXFdlIW4TVVI3i
oxlVaG8SDLejuRlsg7VWxhvy2NbxZhq7dWcNLAy6XQSkj/0ALCcsrGFkP2XxshSow2Nf0hHOVWSv
x8yAyJAgnmH0yNbpczNoPATstEf4dAmTNhgXJyJ/dqzMuTKFXGPyGXhvdWIMum3X1J+7ur+JR8tt
Yu1ejoKMiMb6OCcmEmk997SEp1C2wlU1KjZLKflO7/zXymAwZ/fZriVeDXxKv1UCE5B+RZqcml18
GTFbyFYjjnSIZ3iTQq07Dai/CUbNySpNHS2wPqZqt2oNrK3MtOpJ3thmd4mM/oMsyp2PwgcdgOnh
7uP8G3NpVRrFrdqRSR7N9Y0mY1sO4u2CnSDF9ewb830FvbUS7dUXAAEroOmVDg3OnlzWdmvDqD1V
UmDEYQkkAX7mFFbXtt4e5Hxe+qTesaHtVaX8KfUbsWpF96xCe3EGZtw7xQwu1CiQv4MrCP6jbU30
sTO5CgZeVBlrLelLlG9lgGpBihYsjd5tQKhc1FQibR3ZvW29qWJe5xmWcaP1mtqS1nj+cGlK7c3U
lpfWtB7GqKOd0+HIjJlueyNQyqdE9Sc3KPu3uOkO4SgDis8puItjaIMm6+roFu2dK6L6TQ8mr+uU
8oxJdg248CFRBN1YnzxyAntNrl9ryS9WgWx/lIz6w1iNhyGDLdyAH8UzudD84IAiaQ9HqP5DcNDa
RQyqTTu/spnHKn41aVujaZLHPpWGxFWkXFljDB4ca7S8VI52QmdUid59dsci/KIBT3KnnggBFq8v
9jzfKISEs5o1AzcQynpE6gtkpnozW4abdpuc2sjkuJzG3A2L6EMRiwuxMbdaQgZoX2irMWw+s213
W3kRyU03jTHuZuIYMFqgp8n1/GGcpMdyLO7TCOEZhD23TNFgWtNw0yf4NrTZuptzZg5pF3fXGuK/
p6dmvNVymTksEl2CmRRS1f6HaUr82lAsSwcERiaQPh2iHraXpdD+qc5vKguIIIOpG+UuWz0R/3up
HLSEjv1yf9ucin3kFexRo6O+Gdxwi892r0PuOYWb97ru30kpsI6/KXCPL03z+idos+WrvhW4yEVY
KsuoScBui1+UJGy0ENyjtGc/Spm7xGL/p8BlFkrCH6ILnVW0juyMsvRbgUviEstU/kaTP7Ssf6bT
V4g4/bn15ROEkoWBH1wrGUQ7kpZfP0H4RkepLIzhhmDLxvQAP8Twb0yOt2BiQZuK5fpNAtWb4p4n
XukUCdyvbEXtrpwjKAy9MSfHrxSqmP3D7CVDmRfV8pAY+ufRGMjaSUlcmz32YtGE0rImwUwJ7Ddb
zpQWbFfT1GseUM13/WmebTcti8Fg4Cn50uxVRiDmEmvpgFB0LhQNenMXjIqXiaCePTqEjNwJC7to
2yUKYTmJZW0AN2n6Q6pw8a9Ntd5FQsFFRIIIiU2ER21HdeqgS6nWSFaURcReEMRovZhmy9swGRfG
opV+inxk0TazJxY45dR7UlobxElDQCKcirC+jDTrXq/RuOkAoGbsuZtWnljy61WgbfQpfDMGiWls
br3FeUqqRYYaxCz5M2YqzHj7rgbiUAyHMCibg6XQOQRRJqAzVQx1ain/xLg8WQmlhWCYsadZ1bIk
rzod0bQyRfLWqjWCD/0hf1GsFAjaXAT7EljvRVtYKSlXK/Cw/DUxZ32jpmrglWGvbZqijTwZUMoq
oeT2NL1LL4ncQVEChJqVPVq2qhoAZUC7Dyz1NWykYksWOR8LQpWwbmkVu8DAZOopfWLPFGyNOe0c
xQbkFtb1mzn4/qYUjIJNXAKNOyAD4ncS5qYosmZvo/RzBdRilM0zETSFURAqxzKwi2WXE05DWDxM
V9v2ObTsAqZoF+orDOwJKAxQd0NHTZnPNT+mpT6lOSVPUMULDk2jvVpiYZDCEz9T9tWqI/kAKbpR
XYOpUlZjMLRXE6zXap6UCvjXNCW7phBYG8Axe02PRKjRxtIbFbNbNVlTef6YJ1uFWs2pCMzZ/nts
vivwFjLSX88FdiCJ/3sqsHzN90NTh8EE6J0u3kIxt/T336YCMJgWJe73fT4LpG9TAcxNBhYA08DS
vASj/tgtqfofhG+Y+JCEgMDEkPGfTAVgN/12aDKohKLOz8BcAOHvQsH8+dpVw7RUgt5sz1ligKwp
0oi6JGNjeWXevKQER18zg7Wwl0kQTnpC2HX6PMVDOD/lA97JiM01as9quokHRiP6CkYqZ8lKGY2q
YxUMunbDbicj0k1DldVcOQ5j+BxAvIv8ea6NTruYXWfXOSkSZa8dRl0fmtFhGx43LwhWa3DzreGb
DTgdSA1g1zhgaN+a0j6FlRzuOIiNVTUM2kNV4PCxSACrOiBAJEMAUFaqoT9E9OhrYUX52UyT7lYB
T/5JJimg3PVxGHzqtXpcpw3WGywGhcc6BseBRDvXS3G4NTSFUaM1qNNVMYW/a7oCgmJuDmcl7hfr
QPlWAG9jhSBE/WJFeFHTVgOoG/q62IV63N5DDsgcXkH9szWn9qYP0+EY4Az1sdpsUklTbzm8U2+E
LAeBUUYLZSmAM3Tqyx23Kx2kXMfrhF0gMgKlpCRt4ECvVEX9xNvUbtEBUSkqS+NjQ1Z6VmcsJ+E8
U5QmohOfCEbRD+Ahg92EVPFJ1RvVVRhlX/LSDtzZyrqbrks+85Lmu4pgljuliWToB6xAT9oQ2Rxl
RXiesoS6dNIJJYuaZmPbac0cxbbONFv6NqsgSthTVsM8CKbPmjGmR33wm8cuW/b0FMhOI0XihI1/
OeNDWmssm/jSkE1elaSg3K/05qJG71egXBwYPeP5aZI9wV8zqxHJWlf6NL4NGlg/q8yC/Yjqip8t
NqUT8aDyPosaVn4YX/BltJ1xrCYr35RBpwDm5FM06jWWjlnY/p5byXjsbOlDIYfiKJCO3fDj+2sp
YaHFSYrVrK7lm2kOWe9YQ7wLorz38KLFJ60pp9uwtga3bxYEdNSNXtDP/rqpmiZw/z1Z309WmQHk
X5+s5Be94Hd4af77eF2+8NvxurjhwT3gJlh4tjyHP45X/shmVs42m1Pv/aD8frwipeLYY+GPpfQ/
5eq3mtT8A789W3BmpEvuETKBfyClYsT72/EKA8KWl6IZbbNAPrgMZX/qavLA6vu0t4obWU6DbRn4
mzDAp12Ds+nMfnIwzDRHYInFRpVndWOP3SWPCQZV8+xTjXjVJf18i3tS92y1npxgMFRQqCGotVCb
V7E0CDdsLXLQKmN2pWHMLlVgfwh1Zrt9rarOKM8HQPXHWte2VgEiSpfCTTWVH3wrKEhmtE5zPWGx
LhJy6dN2H2Qxq21N388W7JFAM0+G0AguLRlERNbVHswEcmR0beX6RaA0hAcePPYZJraB3BiSErBj
Jf18MnLzw+gD1AeL82SnxQdj7A92ohwHk2mFnp1aC7IQ7PSHvEbBKClkYPjDwcRYkOfxWgmkj4J8
5AABc8t0C5pAeSzN4gmR0plQs3gV6iAyRx00i6G9YMFCdTxSKUpm60XGHHKmpPBL69EgJKKasFzl
DLn7JW01zm7qYaSGDtRtsWCGxqE7D4uyOsD8udGTdh0b1e2Y9DFDZvSrkpgvqm98Fm15n3TTGgB4
tlKD/DJqxnoCXxXB0ydHsLkYnfkQVj7VqTY9GRHr9GjQS1Q9S8BaTmqbGk2Nm1M/cqdd6zE310qY
7kclfQ0XTYHVigcjrLG90qw4RmHfxL0pzqlvbuGw3VVnLQTTjK19sA7GFMcOl/o6Mnt8+hWs9HaO
vVZt+03dWU+hYYBGqHKK8CLaQGXgIsiKz4ytCjdu8caLSlmnFtOzZevcTtto6uNFZfuprtVXxPSv
QyEH26DSzgtFnkxz5knoXr14SrVHBGYEZkxQ8cwFvJVX+0w3dqmuEM0QrmsrSNb4JmGhj6PAJmdM
G+vdxZ/rXesNvXSNyuGLPSdD7ehyFDtyXW3miihvs632mlQJFMPl1jbILCxgppG2YFouJdZWSEG+
Yaf+Qp7EfYT/memkJwPMgY8AW0mxPxQqEaZh1fZ3laZUxFUHo4e8YeKDQJCOMneK12JDXqHturV7
crEIpFziGhlZGke/bxTGb3XspgGCFtNMO8+KSwVjcSGgLRjyWkKp58iA6Q+TyK8ooT+rwaIL9LNb
uhjaSIM2rWz4XcJ2YEM3d16DwZKh0nxTFDwpMQhu8lzLi2/qxzBj013KsbYyYl7A3HhuW2XfFNdI
0+gVa+vC7NbfjUZxHv2UGQ92JlsUX7RmSdic4hfyvUvPTMhHlUYpccuZz8egwyLWKj1ww1naqJMT
z88iUL/09TGOaRMGLyrQbFc+H4M+81/oVXvkC9XJn6HS5ap0NyJJIGeSdrEKH6UgeU06HhlSZ/ls
lzp3OQgPCR+BzVQAun56DxX3zabrAO/M505NzQ2KlsDToEOiYMF01AdVfpTEqJ+UPLuXSOA9jz3z
RPJ1Ys+0Z98dcWWzC/LfaXisUYcetGFi4SVEn5Da0V1Y82nWNQz3dUogpebzjpPpQTLWNF8LvzQI
/0Re3mTks5eTdKsirnNlvhMqAgTwEM/J9EkSf91PyEWLqtW24dL2a+E+IQKHJUR1zTT1kBbNnezL
974eFRRJ/Z74ReGp88Khbt6Z1OWo1E+JrTeDZ9B+xk7TxYeu6+OZMEc1E+to8FHPxBEBvHYQav9f
xhkuXVLeRu20JBN+3acuZLS/rgkOr/Wfjah+KgcWiyPOHLQXprVIpOmbvnVblAOI6BRNZ0GJeP+n
EdXSUoG11WxmPQs2Z9ncfisHNLotW2Fliubt3f/4T8oBk5/sJ3EGEyrbYB9o2xZQT/xO5tKM/VQN
mEoZyARztGezMZtV0sOGhd8IBtWsNHtj9tYL0djDuip19oPAGDSJdD2rm2xYJSL+yOynI0zJL4BJ
aFEDDCzuYugPpaR35qXU6nq45EN5Ri8d3Uv1IGykdrO5jpu5uVoItp5VWLjXKZ+CTSn79HCBPRQg
3zHGR67Q5nDdvlewFR6SJZNLymLVQ+qdNh8zGGVjCal0FuPsqp3RRM1a5DiK91k2zMVdgINL2kTM
FoTXIp/a2NAO3Qhf44aARMNFcx1viAGpvKHylQ2zZsUbRiKmZHw8jwjIO2Wb2JMxe2rTsRKahD2P
XtqpRnUqzWV+BrlValgpzsapm/C3uCU+hruIvQX3g4kb0iAGZQMLLGnvEjWtbc9YTFQ4IkOxqUz+
ndyn4mkeNJsJfBUkMfmyYWHuKlDx8lcd0L9zZJln6q8fUXbYXfPy3w/28lXfa3aF5w1plPrVrLDU
zN8fUsHzhjac+cY78OXHHFm1/1geXp5Qnm4LvRFf9e0hhWWNjpqwC5u/9P35/Qc1u1hOgl+fUpwP
zKxRBC9DZJYlvz6lmJgCIpN87SaZS3PazQasg099qLb+DXE8apadJOLfkNKZqSN14d2kBdoq4bNG
ZdfJ7IBIUSYdMfFYxcGp1TN5Kw9oD61RBbvRFy882oHT6dHLTFQzGE3iM+sGyUIG5YLn5xJXZNAE
7JWhp0Nct8jBsaZZ3ka2ASa3U3ywoUlP4m/We2FN9nZotIeORh4JbfShV4xrpOYbI6URZ7EEzILH
EkRXL2dQbOPiikjvkVnljhoFs2WKxlOQe+zYJPOsonp+seP6ahiVvO0yYbAEFhcht+mp0+ZiTfhV
7gofvSGmojcQuy+siVonk+AmT6/U1bo76VBWJTVw0yw/jUL7UOaAeIF9l1utIW2Q5ochTamgUiro
hWaLsHSlHw9oQ2JP1PNrhym7K/qDYg8MjgjyKsGxqo1XE48nCF0mYQ46Q92rr62NFnTwgRrIKzGr
xxw/56yTsNEFPmP3JYMki+7hdSPVTcst0wtvLOL71Jbcts2vZS0fQgk0YhYt8pXs2vOWdplGzuYY
1fmmlbCNWEa5V/TsU95A1SEt9Sj39pEENQgcKWP1Pf1kfQXAU/rPwDwD4TVqEeRXln5TucmWnSjC
agAYc7ysxPvkM+vS9RjWA/Tv7rPdhGtT2IEzWPxx1A2vVK0NNNTRXmX9uG2n8KzlbNpp7lAjtOHb
wGYSvtj0kdHefTuPV6VXntW63MvF/DHqY9sxGO54ZqB9icS4H+Rgek5DjC1RW5JsqdKz9cyNdRmh
hF5fiZfamqxaj51Z3U8RvxbYfyiwgXXjjw3qjXB+Y+nidmGbwIIwbK8FurudzTclLjTC0trHviUp
Kys14aYktyWEg+A0jQhiJNKyVIiVJ1OW9IDwc5BUM8jtiXXyAIon5h4SUvMRK+u24LFxcisf2USS
NGE2y5IFFA2Dut04aD4UWgnHhvREusbeKFXFjUX8QKhGQO4dLtGGa4ynGagbZDgzMR2UMvucAo38
ChjLFZjq0EjemrC9KTPtpW/8o5EyMUum+Ewi6qFcgCd0XId8SLE0qmrvxJpJKjjD/7jth001Eg/V
htSXwsYCllgfSVT3shSldBN8VBO1vJslgw50yRFHOPtgSuHdSES5bA9PVahhawnt3TxWB1Tm5cEv
midj9DeEzt5JhrELVetGQuobysZrqc3nLKu3TMQ6Zzam2S2JI3FJ4Lzt+2KTEFoWdBFQn9D2khF2
L0+P8dz0zS4UcXfrW6xfAIOvs3E4GG2T/Hu1fa0+l530X19t55fyTy625Wu+X2xYQrCFL/ZfYTO+
5+L46WIDh8d0YpHMsjylxPw260cBaMB6ZDvw9friq35cbOAVbf4ENS8LVO68f3CxMQ/774sNQaEG
44PgboNYhF8vNtRvmaYDab0pF5sS0X2oShbrUomHSYmrjY+nSVvMTX7ZfZJxO0ULXpFZ9KHR/dQl
s+TB7itXXhxSMxJxHc8UV0GLZSK6MaJ0PfnWhTkXmdGL0arCccXH8zTgwCpwYhHKt+1iAdIMOYvF
rhW6F51di3/LWIxcLY4uychZH9rcD4vZy1xsX9JiALNwgk2LJazCG5bhEZM55Z1SWI9mqV4aXGT6
Yifr6pzDWcVjljBy8EdwRpNuX+Ex3QVE/+WLLW3SYxQeKVa1Cc/asJjX5sXGlr8b2nC2zYvFTQWa
KOF5y/6PvfPYjhtpt+yr9Op5/AveDHrQmUifTHo7wSIlCj7gEQCevjdYreqy964ad40liiITiPjM
Ofss5jeWtMRo5tgDOh/vHgON6thrUbYxKgXhDI5CAFFgneT21q/zD17OoEPzvyKcZ9fXTZKtS6jg
I5SkrauxZVHZvpESZX7nr2FRkaib6wfiDk6mlidHXdjHEMgRR55WrcPMPSsC+da+cu7J1GPk5DXd
WkimPpHfWDBRnINUFB7YD8EbtzZyL9e/OJnJFFF267YL39rIe0iFR9CNMPfWFH6yQUdmRHgehqiC
GiVVK6Pk8BUWUJQ4REdJSOnD5LFrcUf7wPRoDKyoutP1fD+y6VoT0oi4aybLsQRhcHAU6YRQ1Sms
U3+byLbfwKObNjWRoCt8i98IMMaZUC+Xt5iNO78m5mu2sw0BwslO0BUFotO17YBxYsHFGQUuhFAy
7RL2PvI0hQjIyw6I9LB4YKgZLGBseFfTXVfaeb3HGFOG957yxFFHZBiBDd14YeYfoawka7aeB8z5
D63G1akhUrRERc2CbBEQmL0ZPBl4gyxPEmkje5Uf5Qj3yEL0qI3DS7WoIAkKfeoXXWSCeWo9IJUc
Fs0k19SZKFF4bagpG2SVWFgH0nyiXYfgUs4er4R46hYlJvuHfbpoM53IunYRa/aINu2E/Uz7pePM
2l2KsDNfFJ6a373NSD4HLXuEuVazRAsP0aIKZXJB16cz7WsWzWgSS1jtGWBOgZUVVSlj7yuJzLRb
9Ka4tb4nYfJYiqleRyLiJkOcaibV04BYVUTslptFv4pjawPD6XVYlK2qA8+waF31RfXqZNYb++dT
q7vf3bk9TchjZ2SyIBssZiH29bgoaGVT7PJFU1u5zom8xTUweYa6Rnw3RNrCyZveDPchExtr8k4V
Cl1/keqGi2hXot5NBhcDR5bfoosUa6NsXivR3aWL5Fei/Y1tRkIOamAT929BjSiEs59bVcLsRzis
LRLiBi3xYix2fUxBQ3adFPG6t/jUF/HxsMiQs2J+8xdhckdZjKauXtTK+aJb7hAw92o++AiawbGx
etf1ALi5j24uve9y+8NfVND9yIJP1u5TJFBI64tWuimJADPjblPUnIUrf85HEkkX9+fXRfP/ezMJ
T4F78O9v3P+dvxef3/906f7yZb9eujq7cg+k1JdzE9D+7y5dmkLPYrENCVQ3+KOfl64L32bB8rOW
X5Y8yx/9vHTZvdtgrhAmAcr6usX/waULYudPl+5y2RKx5HLL4+D8wwbIG6Pa70llgfPZVUcv962r
Ro4nT+bwGvrmyYFxWJP8g9x54R7GXwzEHmLlVM9U30t0lh9Xkvdjuu0i61gu8Vp1zm5BXyK33Exn
6oI1mrSEeBtlBHMRXcI4vCKsC0Y+uV3c2eTDfKV5TVH16sdTiT2PPb3bARPkEm2t4zCK+WiDj4nD
9eRNybHPM0Ywodh3ooF9J+d1QvQtECi4l7Ge+YvBbHiqfM87GazMrzxTErie3Fc9k+0NMSnattI9
cvoaRFbu4BNfYs6IClEdroyvzD/dP2Vu021q6gW7M7qtPVYXz6YMH3CPgjeeuY7CjvYvlmrfqPai
t7zpnaxfG+ggmPE3MXRno0XBb0UnNXN4dSmLKkIMaxokj+Ua15CkTltFIUhVvln0I1Sl80YvRvRI
bRN9SRA9DP641fd+09/FmXnvUZ/0h8qJRXeb6LLe23W1RtbscGRMrbx3kFbSW36RIk03tHamDuZv
BRflR7YgJVEa9IDzwEzOhbyZ4E4yGjhKOJQ1PEoPLmUJn1IUDhgt8l3hVoIYWNtJ9V1J4y6Ba/nv
4fG1QF5SAP7+8Lhu3mX0+edJ1PJVP88OxsUAoQz+Nfdr3vN7cY5uMfG1odVhy/ktG8skOg0GDCBO
hlEgAH4zLjYxfuP5pqDHzk+d/8/EOYuF/HeTKAp/Sn8W1ZoPBFn3/nB21A7aOOVq4VUDG5sFRJ75
a733w5MYa+0k3RYhndCm/s1K4yOP/asX4a2twLGZC5dNKIrkvRPnzIlqU0uZnUL5GdOES4+haPkU
NQveTf9CvcmF+oaYDwAczpXmneFG8tn1Wtgw5gUTZ6MpY79LAHs4ptu4T1KiMXOCcNZ5Yw3bukl9
5zi5ZJT53MXtV2wZgFwizFKmyasROZ0g64IRApAFOwnxCRN+FhLHTojPsrk1KRzzJSMNywPpJMSm
5b1+XRGj1toaJbq61c35HBOzFprizEbtoBO/NibQhWwHMPNM3bxGu95zJFjxubKcnVaJm3So07sq
9E7dku3mLClvkd/qZ8kmZ22g0d5MDjrRBiEjY/j+euzaa5GNqPMilnmTpW/mkoVZHCHyWlGdiWqd
mFPzIzO7e0wU93SEeCsGCBo3os7mK9PKtkVdbSNOkJcSZb9LnnsIvupqsHI2Y2X8g+qP1W3lRhuj
9FYA6AN/MgvGALaCgQqg163RqzcUVbLmx61yB2ERupWQWMvA0AlcHyIV7pMq7dlitttuFOWdo2zG
gmrdahPOar8HDmLQiCXiiqXYFnRhspr6ynpsUQi5MQGpUGO9Ld0apF82CcTHNTAM3QrGUE9Xpgs6
nZU0onbdThgvfvMq3vxi3/wfsi9uSBnr2v/1P7lef/NgfyGqAMzYGOwd1Lp0xb/vRIlrUVrmt+nF
0OJqa+bKeCfghRN7yojn+/f8+zr/lv7978+/JbE6SD6jv9AnLl/46xHo/Af2usYC82vAsEgXf84s
OB1tZu1kItlAZBeM+q/lE35G/jqsIZeGgjkjB9fP8sn4jw0sY9EXY4ZdBIr/ZGbBTuB3T8oXMJQV
smdCRGJB5y57hN+uzJI0jZm7duYVnDNqejurIXque8fO0HoVqoLFPswu80xLq4wxiJkA3/dlGEQx
PGOzT933LJbQ/WiANPDUbq7rN0pvmV6kw1SBQhikf12U3XyMzD5PDnU3GQ8ohIR90FuN4Fjfx31S
hGbIjtghjcDIslS/T1w/xywYzXn7jVRhR11hH2rs2wqz1uDI/BN8ThKUMukZKFten+60BYXpo5Mc
7rp66g5WbrQCqXWckXm8nOGzRdoir36snYzljG/qmlmuBBmxiUe/hnBNsdRrU3Kyu8k6h+FMrZP6
of/etxJ6ulWHat65Fh4OXqL+BgTEO4FPb24WfUsdC7225WPkcuzPqis+ITPpLOWL2vquOupMKGZG
HamDnDV722Wif1NOhEbc0BIwxiwdmBQQV8U613vWRVLB5VbhtxE30r41JSJHEcZnkRkFzPHGvXCS
4jupqnrHxKlkVo8CoMigE9oeyc9sFxnZD+EVHy4oDF58KtUw8Lri5PV+uQZz5l5Ntj0fMourgZTM
nOFuvHOX1JAmwrdiTl7KYc8p5xJzWHn+p2fFYucN8z7X/WuTe2xH5jBeu3YxiYcNxbAFFDBGmp8p
1A5c8DsyG8dVD7ykYxp/yUBRodAEl+fnpIM0KFk3KZll1wx6snvuUvOORE75mWpWcyzqRD6nqEY5
YevvEunMv/i0/ztkpcj6+1Pr8jm8/7njW46a/3dkLZq/pZ1DUbes/ZZz6eeRhQ8FydMSbE8HR5HG
BPRnxwfrFBwPbR30T8hmy0H388jy+fdwHSECQAW9tIn/oOHjYPrDiQU9zSLN1mfZjyKR/8XvTyxC
5CrTDpPpOpE35sQKyggntYI29jjOhlppE6F4viHP6IDvCPb+gNIi1q6YdeAqmBKmpNXozHzik3mO
NbNcj8L5wKZxlff+0zzXj6aSP/o+2oIwXeTZ7iv3N+nurbPkUrBPN4pzqUw8kuHgr7LZvCgNL2xO
INiqdrInXut5a5YOE+CwXkMXI2zRsF+ynMnGNH/gF5EMHf29qvvHLOluGt+6JB4re8337otsJEd1
hEIwdMdSoQ+fRHvSvRQ/nhzYOJT8zHOQgomvvf5A47sl8COkBpRbGYvnviJemzGubfiXnBTD2SIt
VbpuuAklfNRZwcQgxqH2ci8wKXmo0ckVTK7bTHewlNQTS5YiSABYgkVtETAi8LNTMrtJoyGQR4qU
6FL7tZiJnHRU6II81/KjWyZ+UHPso5EKF6MKy1g1BLm1ZGZODKOVPyOl7u+dqSo3c2M/4Y7EhBol
jXWP6ZI5LV6VEnzLiLdvftSVIilj8GggA5tuG3MRO6KGFI0oXew+UQ6lucQSUg/J2XOGTdZOOy0f
97ManA2JN9w+EboIDU+lO4NkCW390XIh3Reu9Vml9lWutT5ar5lbgQG9g4eeAJ7+sZPyLck/m9A+
1rCNEEO1B9gpBA271LapBGmiiU2cVajv3eHK18qCwAso8bH2PFnOsahYnBb29F7rdv1oFe1dVFgM
dVkmV+rQEzs+pimVpY0kTiThnp0naqzaPE04koivr9zDJCYU1IX3JIYG03Ittso3dloyINRKypUX
qsPsg5/TSvRYViQDfyC/Y6irXQITe6W58400wq3ZoyJDDI7ErX+a8/w5t40fjAgKBJr1i+aVJPBm
jwQsvEZFczNSsALs8/aZnF/ahtwVrYz3NCIA47jZ5NgdC/aXayOdX4YOQYtev3dTskHGePLTJNCT
6tVJyFsITZLvYMQhsm/yByaEj3GLB7bqketpbnbKRrbus16tOve19inFm965air3bobHp5nhsz6J
cadN07ro+zfbi+6MvNy64GZMi2FoBT0cJa5xTj30pLUj8QkPJHtE20x+zzIirwZiO1sV7soEnDc1
BPRse8LUawcekrOVT7wt37t9mXscEKFjvBdhKNFIZtxNzGl0FsyrYZgenJk58ViyqzQb90HK6OTV
2uvsxVe5P96ahtgxjZdkFtNjIUAofBzKjlsT9FjwAIYPeYq6Bq3Opw0UmRdKf+AxfiFjAelsWALJ
cm5b30SiOaHwF+qmDBVZV61urUOgvEEcSptuiLLD6xqdpm7Mb6bMv8syzhU6SdJKBwIQC6Y0W+n4
H2PYvWd5fRPqAMPQPYZBq0ASFVMNjTG1T0TaWzez6e3EVMaoKmna7iupfwsnk+lNNj/ShJ2JvvnQ
pc5sqp/2wN7FBpc4wfcR7L8qbrc0NHLrZ91nWbkzKOAYintW5aRw1MxyO5/fgO8SvmrnwCIsPNy6
e8LJApxRP8Rxd9dA/kJbax6cmUScXpzKgp8yyeqg6hAK2rOwSM+NgjQueqgGVvBvo/LVqGj/5aBm
23y2f0VMXb7q1y6F/DospKQQuEx0f+eiWmT+3N0GU1xu8a+4+p9XPv0LfiP0/1+zmC/D6s8r32b+
i77ftV3kgOB7/hExlfXuH+98Rrzc9zaiQy5+22Qk9NsuJcPb5AMydS9IJo5RVw/yqlNgQ9ZpMVQV
M5Okn3eeatt1ERfR+FT6y+iy9GUVnwgMfx3N9r6I6ymIW3JYVUeYj4oCaFpMeTVSwkucf/BI0w8T
tTRoLjvZcO+SRTrbF913Ojgj4hVj4Z0ssmfVg7y47dwqvs+yZO+rEXlc2K9zcuAjLRGXLJSe4m7C
/FiI6HXi6b4J2cY4N3E+uTe29ECmWchqWFZhCigDmyNEPjiuMLchJAu1aYmh765r0casxbhGhk2e
qefM8GMTEl+5T+I0nfbAFK5Uah1Vb9/ZkTUFoSuftHk5dxNzVcbVNwxZZNjF/UfRMezGbL5hsPYR
y3ReNcK6OL2BcWB86mGyrk0lzmIQgSgsSSnAANyqKhY1k0LyK11ro1vxM1puD9pbhtzZvs88dZ2S
gRpMIvlu+O5D0VtsPnG0twW/FNvrbl2TNW2EuH1PxSSAp1bZ27R4sDKV7DUwrkG9APOK3HtAJWhs
S8mhKiHYrCAP7Dl6VnIYsLSq5GDGJlNgQk9WksTpVcvxuzFSlmJkEB7NylioC8V6NmOsB5axLzNw
cYZH/Lw/jcZhGvQlq0f7rpV+4PUgN0RohwjX210h/fcoLk8cXlBPEUslnoDUMfv3bpgDZeDkG0Px
3fbnba6NB/IDL1FDaTiETVA1s7MvJKPxFpMaBFxihBJO8l4U31TsE/I1yRce6Q5VC3EOjtVlWx6v
W5Tz3Yrc8Etnp4JVaHiT+92tTRbNKor1u7ASSLVzF+vw2Njr1B7aNc8bMI/yhRU/DO+oO3Z8gl3b
b6mSkt1o41dxtJrySuLNHabrsbaf9ba7sLd/ANaQrROtfSqi+A6kTIIkvt/pkSMOqdOZK+x+d5Mb
PmhKu53rnleEGz3gcolWfkJwsN6EN30476c8xC43im9NLUi2sKpsN9lcq7Puw6noWbVEdrvzGDME
0AbmIxfFdbo4A0vPVuuql+aadPJuVVvqzIL7O+sKbgePwMg2uXLSqiHM1T0x4F+qYTxmE4o9nRcg
sPT0nW29wtDWXbOVfxlErK151YcV+GRnHffmj2JayDBVCY2iAk3jolRjAeG6I/xiSVx3lw2Phprl
Xlg8nYTXY+HNk0+W4fOud90XW9n3hs4nPJRUQ3ljHGiFzIApNVNRgTvBAvWoFZa1VXV6nURO4Ijs
rsiHSxTzbKuYLatKs01S+DckF9VbJyf8kcIPvmQzTqtaOg+oPwY2qtqP0LDeNDP/horkUCtTWyUR
ZXsojE+rFU9foJyiKJ4KSPwbw+/vp6nTd4lTvJaTdbJFOVFVoeSiZHGt0bk1U69ykQxqkFfi+oMW
JqDpAG5EhgCldX3lCCqvOSt3UKQ/GtN4rRlM7X0NTULluzdzP7Cj72JMII3j8KOa1DbxRH0QIgl2
YU7LLl97lZbvJw0aU+9mKWet+VY51n1XLKPF2MOT0ocqaHrEmGlVybVMtMuAL2UDm/FzmNFZS9u5
SlNjCMihcoE1SZ+sUQuUS08JUVAbrJSlvuF3L9Z6S9imFir7kox2Al+9HgGXGnFgGvWdkg55lB5u
JH2m/E+QT5geDJ/InIKEMLtgSuPqqnDVYSqgCktSmwtBJcvIDUSOydNaNek3x5UuaVLpvLFluI0s
c9o7sqkPZWVtM6xLQew6+dbzqJo5D+edTOu3xrO3shE7JsS7spcxbtvEWdO8kD9FzbXyuwIsjiC6
xrGn8NYhsXDr1voBvPw5dRP8VkXq7VpgXYFyPQ2q1jQd475f4t+Z+1edeTQqE2sUThPUZ5Hcx1JS
n6mCz0ZNYktRzH4RQTaQLEwVdjccTJj5K133EP/ZwynK/WPozyeRzAUu16rZhhluqGIZ2rn3nnCd
M7oSTBs9Pq5+mG6qPn6QBvjQbNbzLcsJhD6xaAAZdd+cuhhIHLO83egxyZl0poMkF9A55vFNl+Bv
DWctyBjE76pqPiHiPYe5GSBEvBkapHFmWuPVD5WzStzm4tvpNw/rXd6GTIZcGlfHETYEbPtYmt60
CZ0ICNhcQ4nV1JPeZ+9lJm7yJrnPkJysNQyrm7ShVW2s6jNHIxkhDEHYZKHwTSz+ycSQgcq11yoh
pG3oyZz3e2xhujYEqm7CdRlmqFAo2NMxjZ7qOA9wkrxCI8evxavr5sWPpuhebVMQsdBdqi+maVd8
w2fsb3SfDpUUjqe+9CD2Enm+MoS4nTWCJUWeXOmVHa7KMjvlDZWIxZ1qi4EDTNc/R6/du3149nDa
0sxNR6SttMyZWDr352Kit5UGZrupYACXWms+0GPd6ic7L76LyvuhRtGvHFUeZC32YZt+gvDdYpPu
di2cpbbiT1UpnsDPnefoVIBHa3oXl1T27vfpR9xy+A4AIdLGPfQJfi+78wg1dJojOo8tek4+HqhB
qxS6xDjzPCehwV7KsD5NMiRXQPTuWWrxlznAh0I/J81iNifSFf8h+iIqtzcqsEMysjqn0lmZnXOc
bZpj5hHXTu2tQl896yb/OGSclQrTU6aceGcW3TcLP2Xk0oNVOJY0F3YTRQwAnHbN3Hdnx3oRTJ55
gQ/72CiFmK4lclZU9U2V+Gc26BCmcBP22DGI0rMhNVjFri/xUAwGjgVdFavSrOidCQbeJiGvDllJ
HBbNdF8MNT+ah+s4pu5ceXmyEZJ2SKJrcc34qKb0R6zb8O6Udz3p6a6cdy3JVQbUkEkGOmw3kT3E
+bIktCzc5569S9NlZONSyJjzh+mpraOiD89JzrjV0eiGjDLaqn5H1AMYyiAQk4t4aE68Pg/RhP+D
8e8TUQDMQWj122bj7c0o3xss44YuCxZ4ya10GhIHNZk42MxI+RDP8VCWWPcN2TZHyL2K6MBEDd6w
LfNBTLcTn47U7EQEVggDNppdlQSenzFf0vhfkJ6z0kSzm8G0rRpM4gLyfiAzobaJVQZWkfVBOJQv
rBLxiHiwMoYp0sG9pI9mI+8VNvQtTNYfddo8WwmyB5pSftKkg23lH2LXekf2cDMmEL/Au2XrOEFi
Rd3VrrPMqle2GvQVXSnYoxhdQaZxsTFKdvj8ls+O2rz3kXj78bluCG3OCU8cO/cydAlJZu6ZtYW/
Alv3rsOhaX3rjGqD6qasPrhbJiYAjCOk99gmiXVk2/oJZk7u5lTDtzp4e2vob5gnoOGI0VLTSqB/
jFWAMu57o4q9iUiB2UA5g6lzzlad3xkZRJEOE65dlGrPuQttHtjxZHPZ2W277wfe6NTgG0KjXzNd
b1etDny5nR22f+muMqh2fT17y+pkbcXXWbXsb6EbjubBbkh+9r3hIlrmJ7JiLWKn36upYcCuY2We
kksZaRebiOdcDhfLuHYQRYm5ZpUpouOglc+Zig5dnLx2bvdY+SU6dog1HuwYx72Hbbym7r1MtfGW
VOgxgLVszSI6zJM7H9I+RxKXPsaJcAKXWnATd1Vy4lR4s4pyeC7mAVxKnZ4YFZVBS+rjGmYAzMMJ
K6mjv1SDBn04u1UgZrLKwx5NVEox+a+5XZ4TM34uVJz8u3n8ZYa/QHr/fob/S/Dz6r35+OvoZ774
176e0Ttue9dkuQcLanH2/zrK10grRDCFNstYRFpoH3729fZ/dFp6Hw7Koo3+mgb87OtJK3QMB0Yi
+0INJv8/6uv/uHuk72E6YDDCZwMJ2Gqx8/3GrmfG5Fp2U2Fd4uJtbi/j+Isy529Zzdafo6WJP7Ng
vKLtMJgb/BEP0Iet1YX22F/6mVQrorYmIrfyML2zm+4Hg7WgSZskwJNKVp+QB4TG+6ZOGW1xEjhL
mBeD/p10m71otYcU5zVoiu8iZ9dv+OfebkbUv5lazXF+jUuEqDBz6GrzOiqWCLGR+iDil7i24xo6
o1lOc7tSmn2AIRf+UIguTBPbHzLpxMV7neTfayMP2Sjo+cZqDSgGWiReUuJmWQZa3/p4JCYKDuCa
kXW9mHcQKOvetVu5YpN7zYvfwN7SDXw/lWWpm3SkcTfJ59rqDZ3z1EiiA5K3zDDONkGFvl9MZxXR
meey3CNknuGs1Hhy8x1GoSsvjky2p/JNaAgfYGn9KDJx3Y2YaNpinrcsXUECdvduyhGkkUULij7T
xF5W/bGrNHaM/XQ7Zt6ROSjjhLkh14B0Fdd9D/VBMYJN9xEuoT5L3jvEG5iQUdjZ3h5b+LWY+XIC
5OPQeG2z6Mg5D/vEPluyxuxiDFe5OQcOGL+mqvfORPxraYFhTeZuP2f5TROWYCpnJj8JhSA8xvUk
0qMlrIcu14FkzSb7zdm6x8RVruN2jDe9lxymvE5Yddg0YSnKlhoiarmkAlj+RpGNwGexmD66YRtH
8jjCf/Ct4dkqTRof++K0zmvbzddZYt3FRYhmPSSIzBquYtUcykkdojHlmoa+X/hqnw/qjCv13iG8
F0ld/szN/aSH7jMxKNuywfI021sxNm+MC/Cod3BGzfa15IdH+joywp2/s01a0pHXbCrIlRvPlUo9
aAT4wKyJ6X3nAZC03JDoKveNt2CLJuk1Cin8xrZLt6LveWzqH1OZ7r1lKGRWb32jvQqh3bfucguH
aTCM/lqz8485C2+zgmDbeIrOeDoz5gbcWpZwyaRFX0/3wCKHGbFWFB++TpaFAB628WbXvvLGVh4T
gBGBqLgGbec+9a2XvmqjrTAaImeq5e1J1b2mpyfRU6cZtQKIXKNoErp9NxLit+6nPj8hdF62Q7jU
/Lyi7raSECauc4k6w9kktvOkOV4U+HXofTR+R0mHPbhcDRXJv0HRDCGTwUngYUqTIbmMTQK6pnJI
ROVXsWJGhT1NoChM8zIOrJh44Rz08qabWVvILiRdwVsSi4oeI5MDgCme4HPWzanrxuvKqtqD7Edr
pZuLsMeo2z2T1nQTJf0Zeh3lTFbJnQ5ZLRxnouJHA8CklVebslugB0WSX7vkroKwEO0tHv1oHYbV
N3uenprQfHczFJKmzipfB9aoCxFMuTiHmYEfIGemlTk2C/a8LO5LGzE/e6kwf+4zeaeGhggGw7m2
Eg8qKYTK1AoIvuqDspInt3Y5ECmodFfdyt6MkLUtweTTkSy7fW7WmxQ+B2CBc54Kgp/jKy3XnrOG
NOheOyo/zHdyzBDGhTZ7qQ57HVBovdMYrFAEflRKGOBJ62WKWKviIdMLtR0Sk2SBMoFSzSQl9uZs
MydJczV72cU0KuzJ7a1eO8CdiFoghUOSFm8HHHkHQw/7TWQ6zSGfhkdHVA+FQXPBvicH7NnHm0nR
dnPm9PjxnJLEgmWCmIgfuD/wofTI1/h2VtAwrrguzRzUy5QBjYVNNeykVUw7jv74Oaz5DkafP0gs
MJAJYHz2iLOO+FsuElP8OkcOfehJd15Zpftg1+Qorix4MoBtmRZPVhhuUdA8OOH04El7XqIfmCT1
OAnsPtJXrhq3HZgl3OFUoeVUl2tUKkxpBrt/aRL0YiPaYLr4RGH4s8jmsgY2JGASt6ZXNIB4y1dn
qLCjJNvRBbXaAr6Z3GNWT49anG6GhGTNsoof+9zAlVn7p3Eah0Mp0iYow3xiAocRpdK0V9PxmWyN
Vv3SOwx5q7JgdBbzoLtJj0wxNF+M0e/uQ8Met6ST+zjhtf8uEeevRGoOza9JdCi67UUC+tvr3ygK
lJ5RKi8d8yJ7nA+2o25V025/Uxz9hRYOfcGfxXCLbYxlBOSrPxcBnTtjTI3lpcjzK7b4j5xKN15R
vHFcEuU7+XwAU74fxgpeS7ZvjZh5H5FkhjxxUp1t3Dqpn92yH75zCBcz436N8xi+TfhZ9g6pJbwC
UF0vjvbfhRP+5f+coAkANpa9BKv+/jdkF32JXjmTF4WmM5oeNIKP4/IX2MXfVklf3M7fJEAg90eH
TyIR4g1+Rzzov/8ubZ9VcMf64VJFcYty3TqYwDNXWlhzbwwDEWFieBFVXt5Kn2fQ1w7KU2RxTZin
QpOBcVpsYzAst31s+veSWwlz8QXPEaKiUnGVszVe2WV0STCtjiHQcWXw3jiFYsDrkxhq6/l7xniR
5WuymxXr+lZ3NnGeZJusM7+JxkC7zl6TU4m2DRnbuqzNXUoK0IqriNImdg4oOj8TiwQUGtB+WeKM
bn41zS5KJHcSe01X6RVayGI1jyQ3Rjph97Gfumyuo6ew14uHWoFz8fXobBcLgMWpuj3Tg81QcsWR
kLeaUjfbVJpxjaZOwlLBuQfa+xxq7z1RmLZ74Fx89URe8Jbr+ym1oEs38UZWcl5ViBZMdPqzRemB
BSAL3Kgvg1EU+6Yr6Jj1Eb/b8J4lRvxtyu2dxtgtcPOYJMk5X5ltvU1MBAsICO4Kx8kvfq/j3J3H
U+22V//166L/5fPAC7kISD3gX4v+57fvJerfEhwQ6HJXN95Nvy0CImHyi0N43orz9C1qkR+gXFjr
DhPZJGcbYeZX/FZmLEcZmdVRe4UJbaVm48ouvRfTkvG2Lex62/cauwnbAAWVsKxnRAHhvLSKPQK0
KmDnUAfYkKlHOIi0opTrxK7vowJQlR63JbcB8ScdokJZMVwv5m9N6bz7BpEcg16666YwHh1jonYG
b2F2euDg9Vg3toCGqpyX1HMO5Kd+d9wxW1WKYwBntiPHh9BPzy4O6ro0MUpOPCGMzCfj3h6GqyyN
70Hv3RWuv3Om7sVjZsF+sNQ2sBepBethQ24AYcML19VMRQD2g5vDEe+CZ2Jd+earbooXPcbXWXdk
7cQuJrxZYL0YSzZqzU5DN+4zgzJKd8VtFFgZ7hLPg9UFJEnpAzDGHIN13j1g67/43ghfaHo3lfat
RkUuXWdjT/w/exlk+LIwTJ1d6WwVjP3YxX2SSHdt+MltVonsMHnzpmynjZNj9KooaAjQoi/hZRyE
f4uv5QcGsXDlTtjp+pRMWjZBDv5Jg6GvrjtnpzV3iVnzKS1pxVY0rwlrqFZZjzRRZ5mmq+eSPOBI
JDd2bLHJKrdGJk4Ft3isor2n569D1W4hXUn/YLEj0rk181BtCWHbYHKrgh4mZZADOgF1eZrBzbt+
AvtMJ/aoxbUHWlAn+dljauTdMJDaR7I7Rao+S8+m6u1ycZ1XcBCm3D1akTpVLAiZzbNHM6tEXyst
3ceVuhItXULO9tgsNiU5Y+tQ3Tg2lCdskN4FVr7Dxsrah+7wXGkglArtyrGbZjOG1jmNVcvqLwxP
vTEATrN1fe2modypAR85dcO+nLo2II1p3wxUIS64fyBew4Z1of5/2DuzpsjRNEv/lbG5V5n2xWx6
LiSXbzjujgNBEDeygADt+65fP4+IjChwImGquy7GbPqmrbMy4UPbt7zvOc/5ZGmbv8TzmfvVl6qc
ybzlwBojq4hbzKg+DZJL+hzO0CHx6Q9xdYl8/2fB5W+XirfSu59Zua/HO/NLyAHy3yxlZsjzJwyL
3XCaUQ3+115dfzwJzR6Pd1em4xOTDbQHhL7MK+Or0kBfYxqMxG7ADDmCxAqHei5J32jYUDdBLvDO
wbsrCiT0OblBl+bMH9CjHMHvXPHq+b1OLQnPqmheDZliYnlqvwhhfshF45oEbFQ1kdPU8lwUg+DR
+Mu0Cb9BBrwTALae/JYyn4ZkZZVq7YWG15KNhTtK2GTZ4q3IlDDuLNm6LqZkQSVl2yrNJlRk9Mrj
RiusQx/7FxXLtiGgeJIBWbTCzC1woDXcpUXlhom36QvJjhJ8EI2Wfp/EUXOS3r8vB6u6k2c2iUz6
8id39W295efje31TZ//6q5sKQiULK88c9ubwLZgeRnP78VP77PefLRyikLBH9uMROeM1NmW7VG4/
HuDdfoidyqsL0M/ev1RPYzGW/XGvyceQUDJukxiMzseDzHfh/KOin4UiX9IlzdTPXr3BqHvaqlwF
7BO5eWz6lD3JbTgYnzwN+e07PtOqNAySRE9S/GJrKp0NNEZh1vtTAdHDlh5Z1BY3ydJbCG5nh86d
ndl3G93pdg+n0Am+DO73xB0f+KLr9WeRZvJbbNa7z/rlD331XlhdaAGpZRpplt1CdER3uG5X6RXS
Und2Hy2lFfd5CTXRFu3AJeSkc9V99vjxbdf+9Fe8erjama6XzAvoJviM91+HjewaNv2Do2EfapLx
Fqs7zdnpi3Rl7YPlsM6utfUN7czVsGbes6dVbtn1gtLZwloAWllnq/oQ2HiH/cUXoof35PSstI21
yS8wOt6my+uP//QzE8X7D+tsBy3IdZgUQsh7aed2sayfimVxIy1KJ1p4i2ARuvhDt/nq+Lhz2w1d
wcGJtpFtbaM9SE/HczFx/fCcLx//VfI8+79/kX/PoecmoDDMu8rQ+auCDaAyZ1qnK+8mA1GEgd7W
bc+uHEzdK3NfruVvFNLcj8f/88f6z+/obLZhqhFGQL7DXpxy1+j7i0mIUQOI+SeL0jyrvL/Mf45z
NuuYoal03ZSMe/bUdtc/isO61x9GxS1F7AnF8uOr+vMc93u084qygNZH0cqo3Qfw9kfvVPhX/7UB
zs58ygBvQqfjso+1CzmiDmgZi49H+OTBvFD0Xn3uYCXNzBj50PJij3tjWcioYc1Pnspn9+lscqul
pIatGjX7YX4q5KNYQ+T8167j7AVr8wl/Sp2O+74bnFCHsD44U3r8eJBP3i7jbFbSPV8YKc6xGgy6
o1oQ2pPmoCitY4xQpHp536Eh/HjIPz4fDfEktjEF79fZkITXK2S/Ne1eRYwAk1wJKPKtPh7jj4/n
1RhnH02CRVMAmjTskSdTv79K00+qCp8NcDYlTnE6KFFednuRSZtiNMDAT27Ty/r40Yc/Lyiv3uMg
pOnjJbzHnA1s/Gfbbh1fckRwtgDSXf8AG/+TEJ0z3PSvif7316/PV/1qSIn6n9TIAWvUVwrDGbPq
pc/Ydv9d2k2bzj7iDuZf2JqLfsk2rwT71Ljzqn68L4/KllM7jBBowPY6c4LVZ3/eHxfy11uX8zcn
rHpR8vjopMO8kAt2vUrUTSY5drxSF3eZvcVxe/EsPnA4q27Hi97uP5m95Hl6+uihnD33Tqj1oCS+
et8susW0GCdoBLZ1kSxOIHN2yqpd3MtLz86o2C6rVbEyHeGTGfqzP+GcAiqgLFfBdDZ7BOY2ui84
3j+0Ja7ci/ZpWBduujNWwkp4hirmDKv4gOD86eOv6+Xg9cFdMM7ekxhGLSg+Xs1qSQ6WLdnhvKvb
xM5Ntxk2G9Rs9rSneX8nLvNFuixWxhHtxaJ1oUvYwbe/UkX/9tymzBvjd3/PPz937eygaAro6zgq
t/vSVVc66MLFsJyW0y68kOxHf+MtY8fcgA+0893gGLcugh0eUbOKl9fhYt4k/LU5+P+duKKJCqvQ
h637/7GkKvMY1o9/Mg7zw79a97KM1U6CmyDOyV0v0NzfrXvlH1DO8NO9ZEG96O5/te7hriC0VkXr
nz/1q3UPupckkrmk95PY/y8Zh99O75xdGJ7cVAKQ51+KN+DtRKgl5FZEXjUdpuauND27nZpPpvf5
N7x6ZTWR3yriR4DqAn1UnCNaXk+14Jn0YigU6VAPAp3wpZYAh9Z+dN361QM4/vyNr63yb6/EfDfO
2UYlF6QCgpgmHTTsYVIFQP/HxwOc9x/ejXA2K/sSkHhK4xJh64bdqbeG9QwxyrEEBEydCz7Dqbv7
gizE8Njkni2FTxGkGf8o51dNBlcNs1R5oWuAGGks++pVG10TmrcYrL9Chv52mpg9mh/e87NdgULi
Y0PqKvdCcT1Er2Vx13bg5yX10Huh7XlALsdnAy10yf+LrO2THd1LmvP5Q0enqukij38OGnv70DP4
Gk0nGuMBwy/1Osmqkl0M3I8WfqGCibFe2DGwZ7bVQBp725+kBGlpDzfd6WbSTDVLvuWCYjpa4LlP
2ZCclaRf5VTZ9p5YI/gTIul2UFKiwWOLprln0sqJIrei9VdAsZe7cik1I+nt4yqYDp0euuRYIX0S
7FafVtVgHVP56E3R0mu/1pg7/foG/Nul0iREjyFbA7AgI9QkjBjvIR0OxHSxdpMXlE11okenEpE7
CrlWaneGmLpztbL8WiOjGAVMnX1GF1W9iqLLaEhXXSbntyT82AVwHzeHR6rqCzXSMNfTf9BCX12o
YWkuRDNV3TxO7sFn2GkKasKibbWI/b/I6H/7ipytbO8+fPXscyGppo6aoZ4O4kpZe5tp19wpK3NT
HahT74jJcdAsLiwHuQvbsG3K8jbcC5t42azElU5yePRJu2L+eM7fmNfTxNkmUE2S1kjnVzaPN8g+
UI1UbMiWpfjJdHR2Dnj3EZ9NePhopiQIGEfI7ORm+FH6xJA5IFl175OP4Ey09HNGev0RnFW5LK6/
UqxQPgSKEx3jATIaJEe7r114Bf4BjfnHE9SfZkAoPXidTdDpVKXefnRU1QZyGBT50AONy6aHTvjk
DDX/gvNn9HqAs3uHVNXIOl+WDwSftvSOesGp6cF8fBWfDXI2y1qDpU/kZcgHq7uYym2j35As/fEQ
f1qSXl/H2fQ4slYDjdHkw9xyGgiLEPWTFZHRPPy8ln/37ugypMNV58/N/5p/82OOFDT0g+Z/v/3H
+uc/+0/54nvz/c0/IFUlHuCqfarG01NND+mXMX/+L/9v/+VfIQM3Y/H0H//z+480zPCZNFX42Mjs
Zl5G+GcAgco9+2B71HzPCJACqPHnn/y9NxJnDhRbA+0lauBNFDy4Ov4Vke+a8jO+7bescc57p78N
OcVA9qKR7PabUGD8AzIKgCHa4Li84Bj8a4iCd5VdkymJPwF+lWqyjzl7UQRTUOJqSPJDC+Nxuozk
Qov2cPJmdD9B70c4Gx18zETbawjZ2xkLi4XIreT0ppOwnadSuivl6j4Z821SZ6cwBXgqyDkdRu/S
1LRLVPTQVo1+5Sv4SPBZ7AKxvyOM7MkKSTXLOxnFf6znOMqmpZSq5PmwFLW0Z4khQPCUkLLV0JQY
4CssKqXLpAfWRaI6ej9ZIgo0JUw/+EC2cqw3sB0lAY2L2FmQ11PMKRQPBZE451mLYoRGuioNa6sn
KGxuFK8x2CmkfQR16SWao5pTOqI5r6N9ie7ofsZ4EOhhvER70DQg5sOgT7uwarOK8KAbHWmelS+W
Lqk3FgmX/fDQgqcB+57dGQXhxE3QAyOxOEGG+vfCA0hj9OVwFZlJv1TanLAyEbd6DYEXPqlbTnjU
AosV1MMCJnpfhGraNIZw6ozUybp+g2hugY1+N/Qa84c+2mahzyFBp7EOvxdCfsEqI9h5017SLYSJ
IhRrM0AvBTfs1LXCBgqTm3nl3vSLZ1mp7FTo11LYbHs9XfteuQPwt0/lYd/m1YM41ieLfDU50m9j
q8PTZ6w9yT/oAb3eMimuk2KCuhIukkJc9Vp9qhoTqU6PU0+9Sw0deqn53TJrVEk9NulUkVkXnjMp
d9WE8Ka+dXviNdVicqS8vvTC+ohl+x4F+sJozUUhSC4Sjf2UpwcTCiL6i31Wq+t6kO+mPr/ENWGr
abbnWTpF1C+tINhHGNYxRl5MirZsm2YbaQjZdfGbrEVL0l0vC6V58HMUb/Oj9w3rRq0gY6XSytSH
HR3sxm4tcd9i3RrLaF/p8lU59k4zCbdaoGySaH7CyCGKON3U9Hap6NqWVz5Zau10WXJnRMEtIXKn
JhCWXqHtFNVcYvXci1GX4Jgh80odHjr+CBwj0iLOJFKGpi2WDqcKmp1vEBAdkjM9BBvYjoRAjdVT
Zci0LodThaceJ2CnXRlahb2uD/YEE4DGkQmxSujMkxTOhjKUcwVmAU4tWxvKg6hru17ilWqJQU26
WkAB3xeLorZ+jD717gG/YqqQs+5fDSXRHEMBpzFJjAWt829NNPL6KfqiKEBllN24FBSPlMbksgdF
uyQo8Abyj6sIikFQWFMjDJhwKcew2ikqGI4QoDrGzIP5NZAuPVU9qRWcV8xtOO8HnjiE+mNUCKsa
22SBTn9NYIfgCLURLYlQv2yidkUSq6Oh5BV7AI68HTwtGTWA1dbH0qOhlqn1haygcQ3GmtiE8IAg
Y6eUMA+U3k31cl/I5Hr1ZfpYqCkPYxIWcGD7ReTBlg8b/UpLzE3eRAqpJJFiZzGnBW8C/yPAMclF
mHYyoY1oMYsd6kcAtoR8p3L+tTFUhDZy2jlCOu1bSbnE9vNDV+ACC6a89grEcAPeZzbs3Qln3ZcG
Jp5ATrUptMkyGbOC4Kj+kkLIyEGLGSAV0E5YBXB3ufSwSIUIR6J23OWl1Nu6Eh7iuLzt9BYDaTDc
+Dp86QBxdzYTNcz4AHtbIuoKwpFSRbC508yxwhkFpQn9bkL1chFoJK+/LHn/7sV/9ZTvwbfWbxf7
/5fXfpmN7N+v/ZdP2Y/8MfwTqWD+wd9Lv/wPkMmIkzAtQH2d465/l0VUzA7UTCxaqrCLLHaAf5VF
1JloBICNKFYdOZ0613V/lUUIidUos1NPkTi5/9oAHX/uX9k7/e3R6KwerRGxrUnGzLQk10Q3xXn8
1xWLOlfJeh6k9Bjtqk2zQQZ3ifjN1a6Ck+Zkbrj8vNYJ0e/d3lqb8xSJZwOQYIBieDuokTS+Sb61
cJAESGgNh2ZRnZ68PvDtWANq0CqUTqRoWY0+6DQxLKqTBZXgSjbmCBHUKZlx8n0rZcqVRmXR1lJF
dmFojI+awMlYD9Dmy/KorqISIAquhGnlz2joWrXUFf7VmTzZYw5twsHtCsFaVpL8NSti8dEvk9Qp
ZVSVeWAki56Vg5CyTrebnP9WMUrVRklbfSuKiMwHHyDRFHTats+MbRRVGIGJedOCVLbrVli1MgyD
Ac1zV1bkVVtz7J6MyFwYL0ef7m8KTCxAkb83MxE1bhX5rkV3BaMeMxLzgsLZfEDvZEKIHK3YNYkK
t2WvKtxJ6RfAH+tjhLnRzsYGjZKpjdeSdBeqyJdrupZh6QcLqP9X0dRkeCqky1EEcm/24YEp5bEO
8fmZiPvVBm+72WlsZ8xhWjUY7baZgShbU8JhE4+16NZaiQaw8rArmoOYc89M2eaxCAciBllefIs4
DFwFDX418voQ/3b5cDWZkbFimY6vhk48oPAN1lY8C8UFvKQ4RqZwiTA8g+OtZAmOsojEj8oLgHbK
Rma5w4BbozYN6ARREEykkmeFd41Kslh1ABxEl48p22RV161wroRbTxfMy1AlJNhuLA9SPD+cXUpl
611JbXCfBLgkgkz/7nMa4lyayCjZrPtYanzXa4pn0UpTMPT+LvGC1Daj8ZCIMVaLMX0OJm1RKn5z
wPYD4wfrkqNWZszKjYKJALlN1ZXGFkq45HTReB1EcwMhTVdqwP+xKtORBo1epTr2hG8hVe75Axq5
pThVdb2sXnZaIWxHhRxCZmflqGl1zN0WR19EUa4pbAkJ2C2ipNlVpSUuWl60Q5f3+rIqNYpsap4v
hBzbT9XLII6ndkWA87ekMxYo2yV8JOBHCAFVbECq0OVVzwT2kS6F1PpB0MpOj9KrvG1vPUG5rAsD
naMsFHvoGONG1sGh+/m0FjRkr2mjJah5PY/gzKdGGC7CxLhAvrobg9xy2fAQh4JMD+Mh18w+LUOV
ikeqEy40KdylAebdsNW8y8ws6kWqF8qyDfzrYBz8DZ7mTRXRCit5SGxSt0UfsnxGmEHk2Pzut9TL
Gj08DF2O+RNFry00XeqYEBAlPdkAD8MwWH1PgU/1eYzU1nzWjZCpJV1WZJ0VMUT4rs6XviyeCtb8
oIg2RqdegEGBGgEbKmg0NupDcmsm4oHTxq3eiSYvqZXrBw/aJWl/03NRSidtajfzlpTEJ1dvBgU4
4ADaIHYQHX8PdGWlV6grfZ9ER8081lgazFz+YcV8w2kyZxONJ1XAKAoN9hKYN8nCbFl5xmnU4q2U
0CGykehwZ9uJlz6S4H7Tz++jFEcbLAPHKR8OqYnCMKIBMuRrI80JnmD4RKMfmg0YJUcHV/wm89qF
YIIdm4TV1MZrQ4c8UURrvR6WgobjIZHDR92cATDFWmgtJw4w5xT5IStE083EfEXPkN1OS0mXMKmw
89cDORlpLuwgTUFVCr+XrWyPtK9LPhFZlR2kggvVAg7QACNLnnKk55heeSNF8At4tXugIqWxqCF+
cwLlJF8hTMMPqprXdaMv1Y4gWn84qYM1g6gweyUYUbH7rlKIiiAteQM9HO5oUU0rfR7LcM8MtxzL
xKlBQOgm4Uh+HWwUaVxjdfoqSg12bvNa14uvsLxPfkdRIQXLWDyVogj7bsDboITLUEf84sER8NWZ
He74SnCFCPoy75ST7KXPkgAHpRLZd4JdEMW1YHVrsxaWYpBcR/hEGzBtFX+p4ZGLoWvFrDy/qMV2
yae4ry1ziYV8q3gjA5YuJiTUjllN0CR1cVWVHwHzfOVXqeBalMVYqwXCTIIFjKB3xqz/Xmc1CUjC
BcSdzUSeVo6ByiYBE/E6i0RQQOsDeQG7RTdWcoPltc2+NeRajlDZILW6BXBLJ2+qNWLTDZt8BMma
tSKh/GtfiXd5FZ1oJqw8dcBn3nLvLJeW29poNN5OY9Vp3RU5gBfFRE6H0F4nobE2B+/gKdMGB8q2
86TLIOfok7XhMk2gMngiBn7sGr15FVXWTpGG+4LO3ViJLZJe89arYIhV9SGrtVM7+KJtSvV1S5RU
V+SZXU2tnWnJLtEAPcMu4+zsX1bzRDXlX8e4uZArbVUU7FKaHiEsPfR+3mhlF+yyb6ti3EpyfiHI
eJRxrXsP/hgm1zXGbGeSm20lwnwhfBVTOgtP9CPw9duoSTHqADu1gYDdU93HpIWjikTTOJR+6KmA
k6r8GlfBBmLUgfk2dMXZTEaAhDaBKaK5HjuTKN0HWl0sLSW+Scles8shXsWKdIxiDpixVRCm2CtL
2eTQHOtOLwupG+IX7OrKMfweIMEoL+IkQr5JgLCvryJv2A7Z+KMQClfAJ95UGsQTTlMpgjPq6IYL
69GtAoEgYnYIcdNSmGGRIPdp3QkmDSfcAKG48jtjGYqDm+WwbdM6Qlw2TMshzS7GBrVnQ4lfAw9R
NcDssfQ0hNJgJRe2mUwNQkQnSgWlkvJNIjSXk9Df11Xx2JqV60dA971kAF8NISAVWf5ebaP/2qe+
bnC9LUbN5WRNRcUvE7gNMV2amZ2vt6VFTFJOl9bhcaC/EGicYI6EW/KQ7rUQdfdBbuvFxyO+L8Ui
OhOxq0CgRvGpUGh7PWIcmhQJIyk8GuVVKeIsSzaG9/yvj4EjhtAnnCsyLaO3Y3iaIujkrEVHjAgc
SRcGXs4+uf14kD/dOsUQLfIqJIXMqbNBcpA+RhgO0bEq7jOdGhv7J7K/LO86ai9USAi9d/XxiO9r
8Yz1asSzhxVYLMiFNEZHka5nV9+RafVJe+FPD+f1CGenlICUwqGhLnDs9Jpt9+xkhn2Sr/8z10E5
VeRLpEt8duf0SdKNJhWjo1dy2JcuTLP55DreF+NJsMTNTMMCAxO5W29fgKKWQ2mshehosJWm8M/q
9S1UsUlF0SfX8qc79nqksyMWO+y8In0kOkraU2Bead51OT1+fLv+PAQlackyeKuNs8ceSnFnqpMf
H7PsoLUDRQ7Zllvd/niUP73OnE9/j3L26DFvBg18xfgYxo8JGBlFcCsVw2LrxM1RiFeJ9skzendZ
MIRBmKuEss0BwOpZO1e2PKNIjTw5kpleVt96nUrs6eNrevfBnA1BPeD1XENfiRsalMkRsBdQfXJt
6Y7+Z4aAkQ5BAbfUucsiGgbKSOzcjnXyKEwbvf9M8PfuVeYaTJWmka5xkJe1+Yz/SlXGNIZlLEO6
yLqRtpoTRJswYqGznj6+kHePQ9TwKcgsAzgKLSJi345Da7+q2jATDmK6DvHW5PFJCD7rw80v0dtm
3zwIvk4RIivZnOevspBSHlUl4TDgxO5XfXs/5M++skiZOD++nD+VPl6PdPY6514+SpPHSLK5D9TR
LgwAx9Mm179E7beQ1NWPh/vj3WNfxdqm0p49vzDZzMlNTXL/2Anfmvai9B+z5JNp4E9XRN2EsgnD
KOr5Uu1hTROtsQiOnYq2dEVKkZtATUn9VUiUptz8jL3624rVH67ozc5Aefs+dDDU5FFswmOY+QSv
laS6ror4k2t694GebT/mf//q5a5JBtJ0j0GiqrKbahdZweJffjBvLmO+zFcjQHGGDU0fklX6kjq8
E+c3nhH+HOS/q7Kzqfjvq7Lg+Zun983Y+Yd+V2Ql+qo6qBgEBDKNVT743xVZAjvxLhsUJpmFlVcJ
F1RkJcq01Mwg0Ogo2VirflVkrX+w0yJIjgmReWoOvzirwn5UlUXb9mZCmhUreMh0vqm5Tkpl9mxC
6oqh1jI/UBCSqaIz4YfvRxXeS6RQFNRLSF3UaapmvDMggyxqX32sFHNHdSFeaCLFnQjX36qpwIn0
OYktYkY8NRtBk3iIxVB3wCRIjVatKsdW0T6MVnYfhL47pskpJpSSguJWVuRTSZnTjsqxta1CrjkJ
yDtYshpeSeMWEj0gACsFX9J7kJijOw1SHyS5aXD0IT1ovnKQWDytMt8aSbmJtUnZTPgJHQqoptMF
wwqEsyubxTMhZae297Ut7vQVeoEHk/qgVU9fBmLN7FimnKqQsAHgMc0WSuE54pCjZS+CL73UfsNU
pzoUsddyywmyqOFgwHjks+1I5AO7v4/TcpvENGlYSp7LLpBsonEaZ0pMEgGrwun98gCstNgOKSdD
SHP+grJKDFqAyE9L9L19rRMMGlgtPKxSnZ5NucMUohqPU8jNLbw0uALnT7O2rp4CgsAuI9BnmoXi
zJMLBFlZbR7qcCBsw+h5au0sZPYb30Fu3tuRj/aqiyR9Fc7yKMpH2lodDP9K9BVpBd3Kt0s/pPaR
UflWeqrYYar4rjgm0VpRhsQVwlDGV55MECqw+eoDZRQxz2Fhe9JCGkYROXUdLolC8ZZqryTwfRuZ
hExspJkS7Qgzu5ia6EALcsNGa1qEqfmMUky3IwN9llCHlCXaMXJhvYyruPUTV4wC4ByqNNIAL61V
E+mg6/G6ryy5hrvoV8VCDKXwlMGKXLWFRkqVhIlVFD1v0XXEGdSKIlxBR1btdOJK4fVTHuLctDSJ
USQBujftMfc5+qaIz2N4xVswZegG5OBmlOsjjuzMDQTqc3lTPOQzeCMMdI1wPEvdFhZ6OdBjJBtN
8y0Crvitr7XoNkN7b9ccVtZjm1FXHPycGluGbhBsEJWUiZxz7jtdM6Fdmz1d4QCsZ0sDOvwRpyGU
esqRbuenGPPB0bRa4kJht+yeUiaEHMJB6eFQOVYJYBJwAsPtSBNH7yL9apLo8g+QGPo0dmvSyuFr
yMk+zim1gN54bhAwNVIXLJtCamkUJNVlKFFbVCgUJlWpb/SxJ5paMLoVckr1JAvtl9DKG5zbTUt4
QSAPEnLttnjs+asMPEuY2qOEePWgXFHIvYFZJREv7uuUQa1tRoK72/cj8P6uJbOvnrchE6zZxHfD
LBO2gkquvKLcdsjmHNICb9Iy2hpRduyN2hEE47LWvnmGfNHmekdZJnnqdWQIqkC1pJLmGIW237W1
ka0tC0ZlSNYtuHZxJzNaANy66wDvxSbJFBMWfNT/dmcZXyaTBOAwmjCX1umPmjwsFBnpJo/GK05T
gKvC1MmDTllkqUnedUg+wdAFRL+C4bO70CCXm/88q2UqaDVN/3HkEUplemgF/zoZvG9i3t4XKtOD
KRbdwoiri7CXvg+xrrt1DEuGArEPDFYisRBNY6xWLoGksm1MUmondXdJWP1dq2skFwrq0RoM085T
OhBIW/gvGzGiMwR5uWjyizYS1wnhsSTSestIzMtDaFFkjhJMucJgLZoB/LmHgU7rwoUXyPo9IYGp
5hK2e5lh38xVAziP9pUSMOm8KZ7banoYpK6ygUSuuehkGcgiVhFpWiS6safjsAosjMQy9JzYEmAI
5dJaKPX1CJgokudaejgTc9Id6BbF8cLkoTGttZEpe2AUK0EtQcMGoLhlJGIS/6x9D0wyfuqwfa5D
45iUfQNVYtw0AF7c1kho3cdX3lyP9YkjT5TxImiSqxQ4lhQGN5Si3EDP1kabIKBJw5sE2E5LN8HO
vNqAsDet8cHvQuC8Iu2aGtMqiuInr81Gm3VMGFe1KdfmMUTJ4Ph6dhJDjOwvW4L/3hvNTti/3xsd
k++PT9X7zdH8U783Ry+dZ1XTdd5mqiGvN0ezUo0NiUIQqgY0hMPALxW/9Q/ONQoFfjZCKv51furX
5oh2tURoOY1uSnkv+6Z/aXP09sTxsjkCUGACfUEaOZe5zvbOY9+pjWr0kN262IFOfpd348nIO4jz
ln9IpTJ6BE6aIVlWbpQGLnGnCARBG/0zAO6lzFHPnhRgH75ZumKWmHRiWdawmT9UPt2jIWGS6Nrs
pFqJvxKt3IOTgIYt5W0OCuOhVcJrvZvuAsKiHTlp6JgVqjPkATlXRgHWnSD11EDxoVjZckrka8Za
9A1Te9W3gClaZt7IbCPHm/TLJrZuVR3+Hc3EH1FtXqqVdyWqwyHw63VuzAoeGhdyIIpLFdOoHand
cZCN3J2PsbYhs4Wg9DsHcEC+Kx2lbIl0VGelC7hMiU740mrymnJ2Y7rtWCiuEnsrPX4BoKTEJhbq
DewxZELWolUUF3iQaJcVVdYwHTeTBNa3yVjufXH6olk/UkRrlTzMgdhbo2u+tiKI/iLiI1YVyIHt
iLZc74DVaMP4BNxz00nG0lAEurdi8MWXQAJZpuAkZlLaapWCVJkDsA060sSDEeHt59WXXNAe2na8
MPJ4JcRA8+iMlrW0ab34Sh5hfPuafjK5Q17Ici3k1bJPkn2lWic9FB/iYRJtTqTkj4jw3yyjv01l
9T4yrb1cGCi4ukxdFq1EMXkwLqTIvBESJXP0SfwSdqyZfRahGfNui6HaF8R9+FWMTztJnlQh+DZ0
wk2htLshGE7IeJaiLnxthegxsSjgaDBNnKrwDXtKchMWQvlsjOO12MIoLlXrkse066H3kIq58NRn
qQBSJHM5fTstCyOvUTmG13lAjy4ykTn5BshXwEBVln9TMv1eSWtETuPwXW1hzPKSU3fxs5hAoBy9
WvID/didVSnIuGSad4m+bfVxnevND1jlnMMDZQZRrHzCH23ShY5wIRrait2w4FQDeVkYo4UQ0KYe
FbNArhd/iRpu0kR6ElRpevpqKp8avXCtIqWfl1aWS+Ol2Hr0L/Zsvdms37PNV/jm7uFSQFoqxXXg
kyk5NeptXo7B1dhX1saLoQ3lRj2s1I4OuNj2qtOWEgbDNiBXRSietahvLLRqZUPmS+BFo9ukoLlv
u5ewJa0DS02nz4vV68xTYPMKvvIlVCOkhIQ1UReH6EN805Cp5DjNgU5mRIhnZq3GoifrCWfSgqJS
sg3ZC7gpHSwX2P193mkRhRg+tyTglc76RseLT6wC5z1HCMkIMK3h2iyIlsqD4DAE0w8EGDYiC3NB
2ttSZKfYQhyElAdUJtPNYEHPF0q1sR9UFQBQSJvIvAuJvApMiNsNIVh6A4GDUCxa/YuEkKwkbJeI
5DiaEJ+VFzVMMwK1VEIL9wkRW7GqX3N3pRXb3H0dEYBUtrcWoVwVsCLH9/qHWle/5LnyNRWNBKEI
Vv6EHWlZgr6kAPhFCwY8IROJiaYi7fs5CSwj4YLWb7ITCQnjf2X9n6t4ZaPdFwL7Wrmk3KrEzyMR
Y0VkfCnK8JJo1weUmZDNU+OgE0qmtxyD1DJQbKUE30lrSXBET3oQh+gEkGzHw4MfHE0QNGPjNu1A
aU4Jykd4OIFbQkDU5xAdwMuYHsnVQYPHXp5PzyBxpw7kTe0TwROSxRO1zAKytBXJ6PHaZodYiAba
HN+DoSawvS61bCVMEQ0bZoScEfazR/KPEEzNMrdK4ECtFdpFIe6zOSiomyODZLKDJt/7LozpjtjF
W2EOF+LYBM+fuKGxGPAx9P26qAkYAQ08U7DKRw7VECMrsXBIA7oNTf0iKIrHcCLYDYlBejNk0Fcz
+RY1Rep4BU8jMbwleVniwvQIWNX7jZEW3sLT23URsToUzaMlwyer04R3rU7bniQlSKoVXUtpJIAo
8TNX1a2aVnVTW9/ktG6Mn66U/94Rzck7f78jmjNRL7+T//R+UzT/4O9NEWUh2gHsiRCuidzqNxUj
TZZQ4hkW5eMXYPGvTZHxD0Nko4LODXfYzyCiX5si5PvUmRD4/ZusjTDPTLDIBh1MWTzbEoHzasuU
U+JBzI/V/2HvPHYrN9a1fSvnBmgwszg8KydJSzlMCKlbYmaRxcyr/x/Kbru7t+0N/2dqwIMGjCWu
QNYX3gSRAeO3/7Kw5PP9tCIHiqUfdPiEc4c3N2XfLSzd3kut1sODtbaTQ+w9aPqV71xDwjaCc99d
ktP33Y/wJwgwDMf/csX5HX13RXMQKsZWuL1KqMMwoEMC98ZampSPUNaYLkpx6BqnxEiKA7V2N24y
VusqwK2PitF4a1Yr7suAUnPvWhGWhxU27EZNNIAlopMjs4dCmCmZGjolMv3wB+1pxjOkAfjtSWpm
EmK5WWBtx/opEmuFqTElNw53NtYGNRSYjYNFDqHOsdwG48C2icNz4akWSt7Etg1XNSJCxbJs4xvR
dUesdeTCi7uTVgX8SglL8oBay2y1skc4xDhJBgEKHZhYOymNc8eJamIAV+htvEiT8CjpalpLu1ea
gYVM8dJN1nnwol3nTfXaILclbmxI9OJANNKwiFzZb7RS1Vvo0RdYhk23HtsptVDOHFkv5/R6F31i
wgpoV+Ea31xPn4LFNleDvMrQ4TWctJdFPrGSwil4lbdW9Zbq4uS6+JHZ+an04v2QknPrB3gnppfj
5D4amc+aTJszvy1ro6AZ2Y7+NdOks+4d+2Io7QNtz6pLy1MT9BAZxv1oxWed5hU1wioexlM/Dido
BnLVTLm+DJ3+WHf6I3yjtW0TBpATLeJkLMuCfITn2BbnIm22rSCudUoPukyJIoDqDy0ClLUaRLEg
E50KNWZrMmruq4Yw7ETTw42Zl8RRtn2zzQKzvhZESZ6Qr8CdECYU8q++1l/ZkbipW4V1IYnDiyjC
WajMD0EWn9tCu+076rnGzyLZxAniVLy8+eoRUoLTYXJthv3ab/OWTsJY4WWJCnK8blqJIRK6Xbe3
t73qNjrxs43LEGLoKynlLVlI5zyoqmXPpnbRZGl3M4zRjRsYe+aHlSjFk50WywH2/x1Ob+jtYvVR
MBqQfrclRIc5gC7c1u0l7d273ofHonVX7OvIZ/H8Pfkr7tKy4rWr9cT6heco7i5sJ9lVTr4ddGed
4S3HVulY1/AxHZyAp2bl1NolkDaMeW2PnPx6FGGzCAhnYukVbCrferBVzSykwZ5Ni34m8Yy7lG3U
XmXFpozxU7FG7ZDW011d9rBbs+YyVvI26fQV8RPc1gE6wVaYc/THa+KJC1llaHuSnlinWo24a/Y5
EcDEH3weM/8WPedvIZK7NntVf4KRzK/6VvGI+gYA1y3LMkE9sGv+o+IZBOdiso8F2GfS90xN/1bx
3F8ALMDPiQIHICY79481gPOLB/cdFf4M5hqubfwTjIQI3x/qgwNXx/fRn/EeCAIQmAf8WB+QKOlV
kcv2knEL69S4fVEjt1aaQjrUu5lzlj06RhAvRxlcxEr0Kwfe1lIV3RnC8J4gH7xGHJOJFJ9LYkeP
UZtcECvRE+AR3+p6+rXT2S9osoPEqHH7Bb15ISfSpgPdDZd5XV4Vg/7YT+6LWdtPfhUiwYLPvQky
dnO+RvIaK9F11UeIqwkN92jnFnGZPDiieClHed9FMCZkU2NJ67oPqmr2xVA8Nr72GBQs1FwPz574
okujE+zzl1oKEp2IvVKWw8AZinXOB+NJItXaNCU+LfI5HzE8thNr4s+O6bLK+h0J3fejiX9f2PQb
2+ZZNmfinN2DKaRQxSr46yvsm051k931xYSpRgj/PxU3pEN9rWr/TC1BYV5BFdfDpFkHfX8pyu6J
KLsvQSOfgwqNrCy+gGLxBKcqXLcs/nc1qThh6ZP6V+M2Hb5ARujWZSawTGX7wHZCfukN/yLVxmZF
lBCUQcQ7uFETRIXQEMKn4Z2aGvd9O8CtMVtNqAA2IxVNV/0h9P1daDo349R9MPq9o6a+s+JwCy/x
KQ9JkNI93iQ/kq8ryN69B59HTyqW/pV77WI6ScrdBxouuYKMvpWErC5bldSEeZmPdujc2M1I8nic
3tmh+cHistuP8fxyp203ttU+5UAENVmF8D1d1GXYtTOOJFtcbp9pHNINYv5L1EIEpKXsSiuDlDTd
1hbulG50D0wNJca2aiKyEKC5LdqSXw1QBudzx1195iBWk9i4cU3prstjHIBgzXbQJD/gBu/0042H
325foGyr7GpJEh8LmjTG6q4ZcPCZauxIW+44x0O1LCZu4rHmN8zNMlz3arqVoeKqhdiEQbcJ9PZ2
EtaBBECLfVJGtayAwMKMObBr0y+NHJ5EETcLzy3fdEOyxJUBM9EwkAsR00EobSm1aKezKVhpHpVJ
hz3sgjsZOmrzWtf8HcrHcWF14j1PqpMYIHGXdVKuWTzt3XAcWYl1xTrMiZGuHLoDsry4GwmBRKNX
tz4CKWWQGzyV0zkfXPNoE7i4ghnvh/vMnOMl07R/JDYR6rX6jJ/kayCK0mwgV67d2LE27mdYJfto
gitxf53IrIGzixuwyL0zKfXEXEIojs5WNYTPACnrOuMWWtiwZy9L8KWkcZEt9sNCR7gVeT689UrX
lqHvDNd6prEFqWJrPXidhZOzyKbVINy62reeHtAMxShNWHVbGaPdSEh1n11L6Q7VVk8s8yntdZ2p
mhAKzpksMlaD633Rw5YFYeqOCiugPpD+PMraTrUG7fPCO73xsvrZDLoQrz5rQqVY6bkbvKROHNkX
uolaBhxpaMtf+ST/lsvZE+JvZsS4TmHMtf85Is6v+1YwCZrnkMMbHgNOmFHzcvx3UoHFChzxzuw8
Y81utL8XTJu5Uoc2ACtUJ7uGUvZ7wYRvAKEA9hbaLBaWLDL+ScE0Pj3y/mA5zaMb2jMPygOzlstb
odZ/P1ARR4BtunLleVC6tyk6mxu8tHF1snvuaYXl3UiMdwsiR+Fx9KOe5QbxbrGX7jOhy6cY9vEF
RxeIjWVV0Elde0dOTX3Zp0H5tWzm+JCMcPMoI4vpE4NdlrTQFp2tNpxrcOerKsFjXNNd8l0COGV4
sRsc7UVQXKYUi69Ci27GIXOuQsPQDib68u0k3Py+EaPzjKJF3facwRdNHXl73KNltfBajQRHZ5QP
WJnTn1u1+U6mRPbk6FmxC52a+MYyqF87cA7o/YL4b+X3Wy/p1bGNuvK6T4p11hL8xWBXrrresLsr
eNV290WCfNpHg6zAkQQEmZI9OqE/fyf8LYkgb2VthaVMXagrLyrRV4fGECH+8ZlV+xZW3NRYpJZd
CvA49M+hzfaNcLNeeJhxdGRNrOg9svjoaoU2At5m41vSmRVxj72/IRNkeHb7zHodNc8hOnFwi00I
yH0YWevewuqYXjFrmT3NzVjHTZpA+Dg0/G1QduEbd1JM2No0vQZ1NL278fCktGpThPFBmxfNueF2
y95RKD/KnogHYbRA+2Q8HLGyGU+pHMqVg4c/nE4EHxnSjTDe1HljMax2eblAT/Noe3G2z3zj3kqr
aFdqFSIave8I0FWY0Ce1eytwrt83WuPfl3rlXg4+oYoIZn0dUpgD3anWUYp2mf+mUaYOyPvRV0Ac
SYShrVTTDdtO0+ph3WdV1ayGIC4x8ZH1fiyD4sY1RL13dFqvcDK81eR7yf0QpHiiJ3ZygU1g8gxf
AXb15I2nOp3k89QO2pGbN1xaXkEEcKiCJzIy+/siUdkaXJVZPR7Kc9SxUyx8C/VfYdsdUWi1bYAE
+1GzrgenXrEU6L1lSCjozuzMd9/tFnZmHbyht0itU4I2SbrGO2luJLDNE5Jf1qiXesye/x1ddKJj
dR1S5F+fxevsf1ZSvX79k33d/MJvhzEjisAcA8cHrDVgcX03vXBOG3D9OYbN2aRM/HEYW0SPzfs9
AsZAK3/W3DrYY0DdNoQO+gkq+g9ATMrBT9OLI/g7DC86oxATk8Gb+P4wrsJgcDSjq690Wz70xWhs
OgK9NMtnh5DU6qxNQbgrclc+OXaJS4ADYob7g4exOwyrWusK1tYws9KpUGzb7ce0Tj0aREFgCgz0
zTSnNucxMnwH4eaysVvJbszvgNLq/pQk023bFO7CGkR0cEvv3q+LfYhX+sZF1r/gzDmg0gjBFrw9
MtlHwlBnmlJ5q2Q0Llwt9neGDpvU7u4GSz/C1LnE7oDqEQbGQleJsRkdwBSOuVPWx9uxMqalnPxj
MmbPQWNidUNqZ9QD2HS4d4Ssn5aI/PQF9KU3V6XajpQirCoGZ9z4cnh3pfvOcJmsIPC0K4JoL/zB
esJoqjiULeYjlidezY5cW7I79rzNL36RX6WkdgCZzvYDrgSgSnBlZ3WKM0hApHDpvsLH2IQS3kIQ
AYo5+bubGeshRY8js3IL4PcVnv4N80q4031UTnmHoVnaT9MqIXFw3WoDRz/1LQ7NhzgQF50VkGBl
Gp8ZZ4R2lsgWkwKOOm4dltu85HR+GIyzqGtFfTVRd49CHx8EphjiPNR9eCqbAQuzTNhopyKwsGkG
xQKMxdhctfZSDnBa7CkbtnmM+qiKE39fztCalZr3MC8AN2bYzRTRAmK+9TzpnKn5wvfbu9bNwstm
RuymT/Au0tJd6ch1n+g3hpTsOAuBR0E81sRZxg9x75SQiMADLa1JVlaI7Kx0y2HlSCTRmibPIUrQ
hQukSPTenacZCTnS6mvbDjsd8NFuC77iMV8FyfBYOvFXz8pPgQaBu5iRy15hJOlp7as9o5qJbT1r
ZvailbTPBsDn6Nt4UgOFmnp4W80lawAk1Wa0dJ6MxiJdDWy4kQ2f3MC7MGaIFWOQ23wqPvQZfO1a
QSD0DMiWaegsOjBa8i2eHBNeENhthsfGCJbrgOk2YLuksuD8DuREhtelDvo7gAKPPUhSFZgPYQ5A
HKngLgAxxgqjZlYN7Y1VAien4MqopZ4DcGZ3BpwzBqfloLFm9UCjUZzf9ArLbIZXYl/DhfC6K3qM
G2sGsvMgvlYg267Aphd/uJB079btjyUIeDg2D2JGxAsHrqFzFYGUWyDmpR4TdVaPT0iKxTYJ2Umn
MQQajjnClSuNzcNMiAoGPPC6WD0pkHrLJ2zDMvcRID7pz4LvI7CWldXvyxnp54aFxqhlN3D93koL
VoA38wMmVyApTKw17B2BRhoWgTnzCZhFdtPMMEjKPNmT6bwcamMjZibCfOJySmHrkkJTkK1O6FnV
6JsWCkOoj+XC0KudzlfAmXRtjcRqt/4XZ2Y/lJ57b7r2hWVXCWldI5wwOOUrOR9xKiIYN9RvTegU
xMsDZs8MixpiKdumbJd3jFQzCyOc+Rgu91s7hbeGbr95M2MjNMVF2kXBNgw1bZPU2Q2ds4JUCdNj
NL03k/52bcwsEBt0e5x5IXkMBMBJuknhP6lmQjpVTcSSKOOumHklreHFX8pIu3RnzomsOSPi+LGP
uivlR7vcER/TIPt1UwQYo5Y6RM8KbXhcOyzFjXrKH3MYtOHFRCoAsuZuRq6dI43TnT+SQ6xyb+Zy
yBc8VPw1DboFbjo9AdeSydHVb26jVcupVSjisssoNK4sJ3gZ6vbDaEkfswp1yCZzjZyVtqZxrlvM
nFpfQ5uqK8nnr9YiG046di5QUXFWd7AYXMRTe2cNsP4C/ZDJ5CGBVYCBs5hJddMTneBFXY0PudNf
E9p35n7gSxja+zw1Licn0hfNTFHt9GLbel27mFO4Cmu8NNz6AAh8tPXhvkD7HtjO2Q3rVekDpgr+
MdiRR2SQOyxGx6bIuSzE4oSYi0LH2mVOdcWqYFdUxU4lDQZDec2x4zacRBZ7ECOwF65BqJuLnHua
hL7X0n5fJG5EsDZLdmjM5h7yYYyUOGnX0ipxwtZZLvTwbVFCxhvY08m/Xdmv+a4zpvjXXdn/5nRk
6j/n4/lV31oyE14ZJmfMdTbKTmdmiP0+H8PHh+nuOsLUYRnQLH3bJ8MdwxjW0mHeA0B+NmvfEFTx
i2l40Mo8pmNg2X82HkMo/Lkjw02FftGjJUTN4tg/ce5l6UypMwZ0ZJl1l8r61qydI5bI1+nAyg7O
WXRAr9znhr1LRtgyeZoGm6Bz4RQNbbDQq5JxdAShkaN2g6HJtIQsZix6u3HBUIzrRq/oDnz+VuHJ
aM1+zdj7oTIpdNmt8ohhnAopFoYcLrSKxIG8SCCn45+AxtfBK4z40XXWmRjLNj2p40V+57mec4Hv
WHFKTJ4X6ZoVxJiaLifztnY9lxt8IpZuBMF5UsVdVAhrBUYDv0fV+4rIMIxEQ9ivBjRXO3+fquhB
sc7CHMDZSUu71aaUwJKqvpimiT2BE76xwUgWldOOS8UJV6h9YpyM0PraRa8KAxA/BLlke9h3mANU
UwscCj+YQj1g4jbV5bock9d+kuViaGgWmv5gNBQ9X+cDEXi5r5U4M/ESR16stenUNsYBG5AXJ3H3
Uk9sahv8W6L5TipU0EPZQdoddU8OxlXq0reGerum7+YnsTxit8Kw3nvK1hektd6AxtnXvhZ9Gczi
ui5EewwyK1vGRmRszDnUsvY6Y2O5ql1jzoYFejoTtVIYLQrI04yj/djGNu10tEpEcTOkNfGhU2us
Kyv3lqIe6Yv9fFgjlUToXzXdbdjokG0N/zHUZLKQOJdUenKgT7+z/ekV4V+xBcFcNHpDcGXkr6SJ
sq3EfGBR2uWu1ztz6TbVgQECIpaqtj4OsMs0MAr9XNpNcSuCigvjHVqm8mqy1Zd4bn9NvDC5wV99
GcsFpjLFIUqNJ0XPrObmWYOhvop7633o2/cOhtqmnlvtqhbBzqP7znlEkXGYJIHHbrqJ6dFZVNTH
XOgHjFeeS7r4aW7nHRkRNaydqpHCXmMuiHstzb9MqXqqri+bZOLx6e6iMHirIk/sCosKlmj5bTAR
DzCY7WPFdJFWTbgTzBss4DJoY26+Ecwibujcq0iPgPgZU1LmFf5mf6qwJFgS6CvXTegyqM8DDkIq
dkD+/OMNFinzbuCuqA2PtUyI9J7alhm+KA61iSfpoEEUj0Z6qKzOYFoNtXwK9XnUAto9J64DoZ85
DPE9LU2bP4i5QoQNAS5zzahNkKZyriPBXFHqubaQnAVFaa438rPymO1en2tRJaK991md5jpVzRWL
YxGrHYoYvHogGsqa3VS7hDKXyAkntLnylZlm8KRRDTXdpC7OFdKnVDY2uziPf0DOPic47si6uzco
ro5qD5Ji69vqtpur71Tn20jDvazIgwlaqXHZUapj6bB3GqNzbrfXadg/iLmoU9zrwMa0ba73OYXf
7cyDTSMw1vVdIxjIqrlHQE/Cxpy2IaV98OY+Ih8FSmw1XATKuk4hSaxJbl57Znkw5y5kpB2xaUvY
SV3ZMrnUuvJcJV61FDQwAenWkOWnpyxCq2FXAjOQJH+p574nmDugxizvJLu3QSsxG2KPvWgCpE2s
+BJnF9tuYW3RIprrSA4H34nlv7K530o4dfWvS/gSuYl6/Z+lrJvXPynkPy66UXoaFro1tt0/7lZM
duBgvL+V5Jkm9UclB0w24Q6ZkJR+5Y5/q+TQpFisOFAgfq3y/j/ZrZizsO87rhKLbnoBajl/00Wk
NwPNP+xW/NybSCd0uiu20YwsS1VJ2trBsA8FQrVkmbBSHhMY096gnUQBGyVx8o751V1FhUZGcZPc
DWFzTMVw2+nDaQwoemXkEmbZi2kxxdPBj5uHnhgXL7f2TsweJQvkomKqhzDIPgVzviGv9vEEnScH
P+oDntjA84etsqwPEmQJH66rAhOtlH0NMWxrdh6sjAWxnEkilvYnhFxHz6PL81Bn9rhGQQKuqco7
2+VEs1uyih1WFVY5kRQFl9cOK+jHRfDIUnZFwDQVuq5XTty/uS3uWgHhnFjBfeEpZDB04ye3GpgJ
PHdvDQIGLgInTZpPbmhvhYcPZ4BhSSQAEa2aqEsXkLiTAsfNPAek7QCyu+EN/PktJ01al1G1cNLm
OWZNssxtzE/SYS8IHd8YQ69WqkOSgs3o11CHlDsYxVMpsVKElGXNwOm7G5hY5aTja1w6RBQ6MbmY
uFkuECyttUIYN2btqZUtgwg+LqeVrAd/2/fp0XCq7ln4HbMMLqWQPJNuObGZJozTk3grWjrGSMO0
FhEzSuhP5GoRW44RmhhWad6pjaAor4IMZ/uGBpOylUYI6qRajzpZ3YVex8dYl+RN+X1zazrd9EBD
xliqz5n3YIQXlCtvM/Vp+iwVRycyJPepq/P8plZGdY5cM94LQw2nysfepxszeTBBTFGI2XZyCnqw
ibUmYTspdAIL2E7B2yBiTax6R6v2halfp5C+1lHUl/f6yBe/DRB5v2jYj37YImvXOUYji74Z23Uq
xHLM6QBBVuf0oob7RpGVUZsXzQggSS5sxYapLqpnvca+RavaSxUV/S4ImmHjkVsIt0z6G8+BK2cP
5aXdmM2mgoCVeKpZV4Z/DAKUfmnGkFZYyE7dzi+Ih02NlTREjGhyJBmktaJyDX/Cs4oSJZWbXkhf
iCPCwe7Bz4XYuxLzzEjTg60miolNpvoYzEDb4U4FajrGvzrJ/ItY6hytf32Yb7P3oviTU5wX/T6O
Gb8AAtqz1NkGZpzX4L+PY+YvYJQ2/xkOlNKZmvntFGetDrEHTPK3FTn/69spjgJI4COJKsdH/zPj
i/9gQw4f6OdTHKYpq3b+phA2aqT5lP+O/1mMNeqWVvhXZg4BLHGMqeT0lGFxbWlFZGKWlNfBCysn
dc3pW7iHvIuL5US6p5v4J1X4cDvz9C1lT4RJ2KIzScwcbZtGrbSyIV+q2cRqIDS+7fzrVPQfyO3i
pafonFtzq6GFC+t4FTrA9GjkBFq5odR2Gto5RyHO9BJ5CpP+Op3ldW6jAIbcHezcnY47ISrSfolE
U2OdQYyfgfhk0lexCTGon+V7rT7uxlnQV2jGW4LCD1NdZ6+E91Si/ZtU/6VECyggKSAS4bM9+8wi
zSwZZGf7rkYx20XpRHwjK0xngeHEbmsgaGJpdsYO18tjN4sR+1mWmFqaWmNpUsDcQ/AEbVFf1XJ6
zNE0ilnciIW+idUkgkcT5WNkIye22nCjZlGkoUKItOgkYVccgRg6iISoowy0lDmaSorVbVTIq2EW
W2p54GzyWYCJ4HyPpMdbfDp7G1rurPQepFnO0s1yPvZbDbtFlPanEkpk7qSQ/EnYjczk65h3YqHP
YlAlA3bjtrGwwvGVOBLGCsP4aEztYKAk5dA7JbO0NJhFpt2n3HQWnuJ7k1CiEKMOqFIn1Km5VvRP
/J7HxnmZcvcCJ6kl1saoGpMDw8JtP8tcVZ8m9cow/Co6aWbRTuuCYPpwUWaZjFxagtSvyIUjMzur
ha0tnS7axkKoAUpw5V+YnhYdvFR2W2Y4ued7waHSns0qo0D4twECT2IpR2Nggy0nd9c5o71l+2pn
UHWGcGuMEudLr1DmySMe4lFIV+wYv/Wnz1Pg3+NwTqT46+Nw1+YIwb82/3kizq/7/US0fgHXg79q
gRxCeOTE+f1EtH/hLDTw59fpfOdd07cT0Yb1wd7KwZkV5FJ8Lq9+OxEhcOg6dHG64W/0/39wIv6M
GNrC/Ay7wJaUok5/++N52LSIeT3p9OdWP4Q0seONrLfffSl/QrrH5OiHQ5dPAS6K+ZHP5sh0BZ/3
x4sYrIWTJK3Ls9WTWwN1z5nNSCPLLKwzVmIVzz/MpfR6krGLg00UeU+cEGZ6LXRnXEb4dJl0OCVZ
GRJXz+EUB9kaz+r1hPEVgUvWchyzc4Btfia1/Vj7qJTlbaNjTzdGiKcq72aI610wwrKMyLSGd2as
HLs6QFS40kT6lo3pq4aPQFuWe/TUT0BjxnKKo6sQ13FhYtoWQb0wBvWhWm9bZnG/yjixtnFltxh0
G9micfpd1aEba+EMsJWorHrJx3sKXX2v+2zhcE0/VEPxntXo4gIkU8BY70HJRk7kJVs2fcD9oFab
MmtPBAf0K1HMu/Te5HD29LehLg6WreWY5xUkI4Tw2cx7NfB0m3HzmOZEMEZj/wWt1mG0VbGpkvKi
iIZ+5VeeRb8eOMtAqlsV4yjg2eyhwtG6QOkHhltb11nvh9S49klLLPpOb1hTv3EdMJsPxmsE1di+
L7xKngtpH71e2QAIVbzI0gpdoQ5nvmw41Yekxdu5NAFksAyHBTQ9GjnxP/ycC9lqN05PYkxuQgjN
MS/0RfqsVcomIqjc+wxHl1nT4zGupQdosywTDWyRDRGewuYL+Ykbn+knzntzaQ9VvfSJPwgmPDqC
ShQAOsZBiVatmg59o+d8ISabRL8RNo5nfxE1GVEiiT+g5XXL0BYTAfT+HfDwhx33S72K3+PK6ZdG
TSa6ySLOYHaRYX4mO+LNSBJ9qWziy6202GdxihSyazaos8CWLSYDNAz92tZ0f+kU7RlM5L4LWwwN
MnyvrUjhBxzdhkODAo1UVsQIIF82unPcutbTfDr7Irk1rW4JmoT3gN89phBQEBm7H0nivzhGKrGM
MC22UGmwgFSYXhQ5ZBKEHuWSc+U+HKtbVIkl+zjrKkQauIpkBAd/GF5QnnL39FW7hmTYLzxvek7d
4A4XWkobCRk2ViqbTun3aZjd1zFO0oNGy92FzUXuaR+NJp7xwwAOSaOlZ80J9cMnZ9CbXEl+hzWm
+9Lk7idlXFUBmrNu6U++Ud05YY9e0k25y/0svU/Rg++dCfdA1+rvqsqkBpXvOfu4OC1Rscnyq9HA
xwHchOfbiHiT9s2xVXHyaNsNZgQBbqzuw2zfvB2jMTnlrHpjTbtRbeLPnUZWwZXNkXZ0vThq3iBX
iuygZZ1h/Dtx/4ZWuR2kdWHXTk4vRuQhlhMlzybTIsmv0ntCPvmOp2W1gPqGiHgyMB4t8ZMZj7Sz
rwQpHrHzPJCB/hy2iHg4c25UYazZtt9Iw9r3hnaDNcTK1cIHgkKea+EwvuhYAYfz1vQ85tHFVDeb
qUVU7Y9f2w4CVOQlq7Ru0jWOB8uUNb5XK/Z1wtmosrv0UGOrClKzBTMA6Q0Ecp+NaiI0pDza1dio
hzzGvxuNyXvNKtGshketfnda7sTO9TaWjdXKMih6KK9+0NPEYvcPc1zvRu/BC2FCVZUyl0k4MPKL
sikvUwuRp7S122FiH9cVIXNuMqc9pNIuIfritbNtcABcioy+TFj5Q1rVG3CDp77PHupKe4YDYF3r
rTOdKXjVRmXVa2Ua+0hZX4dAXFUTC0VI5rPZBgySdDJWsLLxgk9QPeVTTlxGLsaLMI9u4zB8S+C3
L/u0zY5qGjGdhSrG58FM126i58LkV+yjO7Kdk5VvaYe2q59gq0+3RM7km0BjPwKjrMbEg9qz9FPO
gFbL8O9uy+lKa4R25ybWuBpHv1+Hij0mT3n9iN1uC5fXy3c8zWJVZaioXJL2OqPpt3CIsRXP5QhL
Gq/fLiuRDDdpzMMeO7ueFcmOXvbMzuKmtiOiMIxt0s0NqhawRLeAYlzjjlb7SRnDbegod+/b7ZP0
sd+xwyn4L55mNA/f7as+iy4cTzaWLrOO58yT3feTjpu1pSnMqj1LAV/ZgAJ35/KuHaaFxH78+xL/
YxcxX4tJzzUsFncMflCPfrwWop6hMfu6P4sARvFDNaJfevi/XWJ+C98NbhD2sqxvs/5c8mCC5iyi
7sUub/8/LoIARPforQxzhgy/v0gdsWJKir4/W+quIgFUY8e8//tL/OfPwlf13SV+AgQRahHtZw/9
GYfqvNpMeYNU/KrwXpPxv1xpJnv9wcz97Uf57krzO/nuG8uizsndhg9TYR1vFCR7mIc2v+i7dZfD
/J8Wf//B5jf+8+Xw6cA6A3WP78yT//eXa8IEg+zG6JmAngxU7J57F0bHMf931vh1j27QNf/1rLHP
y3cVv2Z/Mmvwum+zhsFA4UL7hqLyuWHhOfw2axgu0mCYiRwG1m+M8G/bFwYUC0vPGaieCeHzev3b
9sX8BdKrQ8Ipmxt23uIfOdDBWf/hHmE9bzk2m3rd4lSax46fzgkvqlQxwOq9GKyyNDYGsk/vovSw
X/vQp6lwaLXALanuVqx7E0YTaDAK2uWEE8y105vAjObOOOh3ygBlxJjM/BKyeFxKP3hVRnpLvk5+
HlOIy9XkmhvLQdPKIFVfSNf9iEoE/GnODtgoMC+L2tZae3Ws1g1C5EWXG85paut8rxVZQ7ufgkAt
BxdBRwKx97LUDYtq4p/giqRHWCXFCtXhuFEO3WxTpTDscrT7uW+oBZQ//9LuxgPSiZOQTXAk3Sfd
pJqPaRXLJaKdTBf7NagBm8H3opXVUIYrejzklV65qgYqYiXaYoXC5znj9C7doTigAb0z3Ein2bHl
qsBkHrHIqF2qxP3SFxT6Cm+XLVvwjylJXsjcgNFkd0a+7wMvOJUIRe/hyweYhUSkdVtsFKLkvQkn
85m2V7+eELJsOjfDKJ4kC7zO5g08gV3+EWqXsXZ7XTvY5aCfnLhotnFkYtqnWvekPO9aZGFySy+4
76PxTiuBBaVd2FtdyGvPzRNaEFWgViG0E3wN1/kUEoOtA4MPY6qdjKiFuTeqyHnuynCP4buVHptg
NJot1mjjHN+hlKuuIn67Dte++GI06NkXWojWFEcK/pK/hBPfXJXCr7CsYnPi7MtmNO80s81i4Ot0
Oqiu8K9iKGAVhhUCzS8QqBVc+cH/Y+9MliM3sm37K9feHDK0DmBwJxGIvmOX7CYwkslE6+j7r78L
lLLEzMpSmd5YGpWKIiMQAbgfP2fvtclMDaPE/dZpbnJETO5pgZxuGUhog/fx0P7TKdF4lP/z6nWA
m1r/Yunil/61dLm/0dKwXFPTwDLPrMt/LV1IfAwNL8scTEjHlkXl+8olAEfxj437ExoC2uo/V67Z
F4on1NZZCufY6L/VN7bnYunPzY3hHw4b/h6iIWANZDD/3MHwDayPhW2dib4wqi/4w1IisLJRal4Y
KnisHNqdETS3xGAM9eHCwo81+6iRIeHQqj7cWs2Hc2v8cHHJvMKZaHezt8uqEUTWtb+HpIjZNE/z
KbnOZfJQ9BJXAoigXm84ghnnUWSlZ2YkBkz2QMRcGb7mNp1EXc10jwUeEzQOsqEBm5jFCVFiyej1
Rn0bav7jzPoPDyheJsgwoQyG+yTN66WM2olMhiopco9EnEEs83ZsspOpjKDekMtGZuSjM037ldpk
0cLPuuJVj6fnAAohEy7pL7UiW9cDZ+lc4viOlS3wmoY4pOxVJS5skyIMZaQjv0SB8qafigxwAIEI
g2Hz8aSYQ/3Uv9NK51rm6sodu008XWuN+NJ39YNwgpWZQYT8h0vyRxnB4/GfH8TjS/L+i+eQ3/n+
HJK2btDBY4TjfGBHqC6+lxC68RvPJQ+UQdI5+y0/+v4gYt2mSYkQz+aH6scz+r2EcH5DRsfWjwKO
JwdI/d8Z4Bizqe3HJ3FeA3gaHZXrJVrspzKTzVMzsGhbl6RLg4MSyNK/HYYE2gRj0WTTg5lbjDP1
q+QMjoA03ZkVzR2rVawtCUX5To46RXAPjApjJPqioR0JerTn0bHUjo5Fs64HfrBI0DgpILhONmSr
xZCqayFRfXPgW7uT827F2Hi6sQ883zcnxg4hSIShP8RZulYcEN+RHrc3TVez9wziOSVFgyFq6K56
jSdCzbcTTYleD25KjVA+VTBNBeLZLTNZbZtJO7u1+2777XVkOJepdHac8W4jh0NvXj8qgVMcyLg6
lKG7q0Iz2mlu/0gA2hKv263UrS9B5AwLKrBwYSZGcavVwRM5FTsoXKtY9Z8Ml+hZgtgXY0esS9J0
/aYOI94zc3DDoBtVVYUNr8Q9lDPkJKl0xjTpuUxJ7yEl6FRK84VIyUuDNL7hg16Ag1tOeU/+gF/s
pZ3YS5mDIXUJ5Obw4Wo6U5spw+eg0x4tDM0z7HE/+cqjU80IL+JkwibetQFpJKVdT6wCLINONiwK
zRcQwPOt3pdPyUgCa66QJWdU0zoYwdMGRfhWM3QnFl2zvEwbN9hI9ilF1gbN2TkrCKbumzT0gD3e
F35orozqG243dSsS4a6oHqjIMEgTkvmNTCviklz3Us4uvCmiZ9LZ5Z1TOcpRcdMt1o/rFIAe0gCG
2V2+jJvCXlozL21Qg/F5zAjbDMyvtlUbaO9gT9CPeDKrYm8F5vOgTtclbQeqiqe+8CGmNOE3aLjj
Ou8TJNl1fJY2fAtkCIvK1Gr6Nf374BBOqWgWBUoRrGO9fRtDbO0G7mO7S95GjJ45IM/ZCBCJ+rXj
gHYcLIuCSc4DoIZmPIFz81iI6xdbOc6zIt+KmBt1DEDtRfORhSZZDTy0tLTYiL3Ewz9/4hOzqkXk
NwSJNtHa/QhY8+esNbaRcDsSvzbxMEDtIJEtURxU3PTXFmxVe8OIjSWORtBdQJcx2StY4wKM4HPO
m8HdBi1mDn9LtJF51pwIR78R1l1J4prjkBdnz8lxeYQ/fAx7vG9dt+4b+YbR7lJ2IHZZpE5Gi9QF
zNw1I93Aq9P4XIqCEA/tAVfceFtpSvKUwbZeYH+srwxKOW1OuXPQLUC7NpJVhqsO5iMb1ZyKZ4DK
BeJKUp7UIY7ac3qe1rfdWZrmCqwvDioi9hKi9hKXTmk7p++1KS1EPapfK4L5NKPQFx1RfZmA1UMi
wF5xDGuvzXl++UeyHy39Z31O+7MyWjJoF7CfzxtlNqcCztRowDokBU7NpL6Vmv4YS+mvXQix+Ot7
Z5NNA6tSgkk/l3MCIfDtTccgeqHp8/frC4np1j+UbrhJ+/4M2yxG6dvuY7e6xipPbLFirbUgPxBv
uMF226xyl4ipeKpOHOid5RAikTWclm9oSpdFTVR9HI5rmcnr0IpIR44hHuSOdXCClhB2MnkjK3lS
u2rTKvXtlHTdIk0xk4R9tcq05FS3FbPxFjJcZFd4SIutaGsCEPwQ8kveEsCLhlejw6mfnEHekSSU
Ht2wu8J8SkSXiU1B5pitArxHVtw8UPqse7M4tL7zPuS6Rt9Y7pukH1Z4ZDe2MH/vBf1Tqs+uwP9c
IZxevr5XL7+oEfit7zUCNkiwq5zlmUu68378qUZQf+OIb0INnWV5Hwz87zUCejwbuqpDs4EEkY/A
0u81AnyXuTaAvCoMjafib9UIpqAQ+bFGcEzOBJwHaIXQ1/gZdK9At6v1hiRp35Vre5Ry0UC+R6ha
nY0mfSgSBVNw44L/GPe2P8pNJoNTmrdbVdNAcnZQklzCRwzALrmdHga6C4vJjZmoQRbSFOU6i+CS
NjldbPit9+jTEAxErrsyo+JNa9EcNU57blrwz1r3JFLy3uKEmRqSAmLrn4WbekrXB/eV3qrbzE8O
gez9pe1bncfbztdtG53zCBNWoOlPLegkr4zM2SBv1l6vCGLdGv9b19fvRmoJki1VsXJydP2ygvWZ
hNdDkL1Man+vzBIVVwTdkkSuaZUo1t4SiuW1cLkYzeC5rO381bHit9CuzpIjGBNHLrFFsraqC+0K
iqkXk5aG7fgQQ7/dxBVS+TrSr6yYZKbMAFYZoXjunWZYpvSPNsIsOnQT/Ztfx/Uy1WbIWOik6ym0
OHWo8R3g2StOHOHCUGmy1EZqH5kH3tbS96TUkND31TpOSWxW3OkQpu4+bIZDkYfq0u5DRsdNtws0
7A5BzmrF6SBntmgpBFvXjufiRftSQ0Dfutj1GSXZMQVCY+zptsRrDEdfFWgE+wBcP052lV1Dxg50
K0dZFYFxFKW2K02nYNHy/etRyRi9MSlck5mpIlSGAxkokVhmuN2uc6Fs8nmSFNkIBMvnUS2mTR1A
xkyLUK6TgNyNojDXiC/Knel341ZkPlr2clrZdmbj6JNvjRvKpWbDm03hnq3SbBi8QfrPqd2jVCfD
g/HYSA4DYwqdoVgcZYOnTt0q8jXA2WSW7HW9vEl8+kc2RaYXDxY3ZMspVa1NY1vpo1wG7fTWVqqx
KGCeLFrFJOktyWDq+LlN9I3eedPonChDXM8ZxDuTJ8ZOrnaGVZotjYZb2TLjwQu6KF0XwUjsqCJu
s9B47uwE8xpGywVxqum2qQeGdEF/q2B22cGGewPXBIZWgiqhkqa6gMbilZCGfJWyrjRTc4uC58mN
9VciUTc2kXMrfahPilSwHCoOU7geIWBYEiRBQKrd28Q8ZrUrrqkoG3OvTfQMugU3b7QaqlESY/CO
Ev1hIMJ3Tb4nORIg/TkKDOsRXPOV3csnlJG1R6Yv9pMaa19pjfdDIJql8NmyBhi2Tg+LM8+bcZkk
OXKZltielKN5RAiET7g4vLZAHBAsAGlw8AyOVnY35f6lEsWxHdzaIy3iW9SUTHRDhJbOoXNoqzXA
f6dwoydyHyrhSY2pcnOkwlj8W3MnK/MGc3/nafzdNcHkB8dI+iW90h0jY30lEt44Fpi6Nw+qon4T
jb1G1jovTeYqh1a3z5XxRSfZdfHBBCqHpmd+3Il9BKHUGYLBb1FbNs1Dhpg3Xw9hYeIiUgClGSAl
7vNh6J8GXy/IwlDrriLdwLGegyS39lCk0uAK82ng7JpSMZ/9QOj+KSbebyNJS/da13/QQlOsrIH4
DXpxxBdwv2zNPOkwAVNG9Nx3Kwv98oK78Kk12+1EBxZEnNiGgnQEe7YW91GQLdzcv3am6TJkLRYK
idOJw91VKoLkS0tneyULFNFVQsRuG8Tfgsq+rgTHKKXHfRvVxRYRR7q0C/vGcJuvcuzuS4vUWJ5i
4g2q+8mFH12q05VrRoc2Ga0lxNYXbWAdz2dyA40WrdfSZdP49bZMlYh7zb+MiaovxwaxisJ4Y5EF
vZbsslyHX2dkL8DBSaHQCSu0RXSMkvhVd3pWg+F1sPV1VuJgmRyLHEyT5zDtCFhVkjuU31mX4/PC
nkL9M22iNtoonQOdxIrW3Rh/gyvJeKbZ+RnQWDuNVhrlOVKIDBJ5V1JFyx5PsjF4oc/qRz5BsM6M
wlmMI/ZnuPwr4Eof0KuN0anaUvZ5v0AffBPFlkvyg330i/Iqr9VoWfZ0m0Bn35WhfjZDDTF3oKyt
CuoeMcj3CVSXXJZnRfgZYfXiIXa6txjP/qYf0kNfDEQCDA0xmdODVZKwUESX0crlUm/EvvCRmLdx
sY7cObzTeUYmGG0MlVarUHLQfJy1MyMyltip8VSSCmnZt7YLLQrp0zsiYADcE4ut4TSHWOLE5lAp
+A+HNX3gvdmQ+9tGGJuiyt6hO2J95jSbdBP4segWzeVL2ZLBWfL/oejrcuU+mVHiKlLFqs0blptu
LbXgPYb5ZWFvyhV+6hfOt6aLvxa1dpB6uPmn9asyyVFnzdhf1ZOIin5RTvJL38vJj5YTvV8arHg8
OLJ+KidpOemIdbFI0SSgLfxny8n5DbcljSjAuS7qspkk+L2ctH8DqotmmHcnEPnyo7+hkKN/9HM5
SXsZJKGp056GpTTTmT5PNh18nUIo6nQxZHhfGtQ76ThmkBhKwpMmnGWlILw131mjsuwG9x6FAGfW
FhmKdMVd7GBAz5udjOMVage/9mxbctCOZvl9Ogvxc129DhRsjw0LIWihNFZedU43KOI1owsPNgzq
AXmRChohteNt3bDnyTZur1VOrl7eits+ERM2qBF8bspMJTO8IpySRTnkd+Oo3CNv+GJQEi1UnTUZ
2N1OKCPuf2ePbd0bw/qtmgwUGUA2A9ANRaxfsSzc611NOEHDk+U3yakrKvRtfvZtrLCvheBAMHkF
nl5Jg9p2uDSV9gJfE5pDZ7Qew6OvZS8nr1F9lpPBWQUq+bpUcto6wWPqAyI3x10/5MqSM/5BayET
Yj1ptfAwtfZS1UKbHkWImkzvDlVXPISq+6SYNoq5FHcY4IDGQoISTRzn4+lLU/XrrtWKswb/VRb5
N13VvK6Kbtx2rkgBRRSB3GlyvE/q9gB/8ZtaUZKqymgvdcPA4RZxgFWUpMF2k2zLWkFfFYqlMua6
5+skDVtF6Fz0sRiX01gmy66BuwEaBH8qMuo8Bt4t1VFZOUkyLbMBbz6ezbdwDPaZQVuq8ZFW14O2
hA/MimVs27a6+ClTMYNczROT0ZKgQyFauSESnQOFlcqdQZx1XVunZmC8aOS6vgyzjtQl/zVBTpKk
g4Jnh8IvG14CQboUf3OZpxgo8ln/FtJgCA3lRQULvKy6hrU1gWpAY5EJqXOiodutyEpp13obCogq
BhKurLoNMe+d9UbSKNCDjvkphJSpardhN+CsEKnJNmR7DtX6JlNgXJGpLM5t5LComjulrO9Vy9qq
rX7fd422DMJa9Zpa1870R+JjQWowM0WB/cRCguB3Mfk+A4EQqBv9zUiY4rkYDP0axSH1adJtXEyr
dFn3Mql9BO36C+Nti5bUGF2IQu1h2Jjr0ZHrtiGCnYSmFAJ89grSea130WMeIJZ30VgFgE8g14/p
xTSR1w3y99X9byQImqw2UCXwk3PInW3on9eIwiA1JIXZe0klTP2vluX1cvdp3bz6fdr0Ob54Xmb+
nEGh50BBy2mb7jxrJJLan6wLYxEMdRwJ85LUr21yNRZ3mXv8Z4/62KNmX/5f71FFXv+i6zH/3vdt
iq6HMU84DEcwqQQU+2mbYkKJtvv37Qux1Z+7FLhblZGm/QlP8OcuRauDLQ1BBnDbuVXyN3apDx35
p9uDEaUzb3kw9MgaNuc75Mc7MK6URLeBNl6kShvwFMJDex40NXR2VpVlwVVOpbyf2lI8i9Dsq62r
ZPS++4EE7mqy63s3NPNb142saYlTo8/XRmY3D7XRgvhb0oRYiTCm8xop94PO4jMEk0ngGKxzfRBX
jgOlA1tu26H6SceXPpheMEmSvTXciNqRK1+oGz2VEQso53YtEauhQ3BNFkEoYgQTNX3loOrqJUSX
l6SsQErR9MRZFwBL0/BtjJOTwvJw1mmGqUzJSMqyWndnBhWxOj3qUyluzM66kZHQvMSwv47+cJ6c
KvDwcL+UWXlbGPpz6NAQzn32iiyLgbvoEwkVkUsIWJeTAW5aN7Gwj51TP+oSvYbI0iO6UqB+CcdF
X3c8s56FC4ACFrIvoLBPyU1XFl9I8CtORtXl4BYo1qt5dFGhygbUMHe7UwYLjTGEywHq7DHLJePb
4tEQmCtrTS28Vq3ep7oa6S3PyO+63aZ1vFFdudU4ZRW2HXOQcZeoYQeUI/qaEpaJAERr3pTWL4PO
wcKc8b9MXNmLzM3vszD5Sjl97Zhon4v0TUvCO5Fj32ua2Dz6lr+jK38dFbOHybLDJZMxfxEg5gjm
qWyemjehEHek6dBpseyvIs8O02jcFKMDAl11OLlkNhiobkYQBMMhi7RlM5P6zDzbpJEyEHnfEv5G
nhpt+vtY1KkniAvBugkjvIDkYoG4UHqqAPiJa7O0u3M7N3PssXYa5h+7JhEY5aU1eFXSXk8de5ll
hOcMCS0geJW+1Nh+qcb41e96aytC7I+Wqa5xWj0I3Xm0/WCpU5CksPUXw/w21O5GGZ116U+XNIk4
0+tr17/iZs1R6rTH1E2uplE8R4L+QYY2dV0NGPpNjrk7tRgPjeC206z4mOs5m1/FG1ecB8Wmk4b4
P1pqpGMulWrWLidnq5AXw60OWCKuuppeRjOPjALbXCtG+YyNyAst/YskG28hcntfdOIyQk9g/6c0
cf110JUUj359x2zlVSjDqRLtu+7Lu7qxdyRwH+Mu0XZqaDOAT90aagLfgx/Lr6nW84hNAYKEIaXF
nokLFz+TAsPHsmLGqanyovvaVcm2WbrJq6L4S2fGJ9ohnXhpyKtZocjRjLJTNtkD/uSKxik+UoVQ
q4OCqnRphWikwVWLpS3lS+/7yaoZ02ut9h8h8o9LA/fcAmb11nWmY5o1p1ZL6MaYT72QL1ST+8ni
RXv9Oi4iL/Vd8vuaC77XjWmYW6NAKIXB49RS2y8y08nWI2BeUycilIWWlku4d9vGOERaBXEDVXy9
HzoNqMGUQaufec+uWzZbQpgeWplB78glKCioZvW6TNVmQ8sKVVOW514xmPrVMJp7RlvaOeTBWvKd
W4gxqUysruLLaezhYSqz4AaTWHoAA2ltGj4C+JFKutWYCC3QsdlkQ9Y+GJdONOG2UQzSjfSQlx7R
jK2VGGrCP9v079s0R6+/2Kbzr/nbvx8ldX7p0x7tzlZRtuj5YGrxo3+pF7BUkTJiAAuiQvzQCv0x
mcBsRWFlQniZw1SMefv+Y4/mJ+zRSJoNlD8fFKG/s0fPAokft+gZyYgLjFgXNJCor3/cosu8pHER
xuEVeWoWJqGkp7Fh2RcNDgwLSqD4Cl36Iu8FoYxY8F1a7TZBDmMD2GbtqFJrbnuhBe633qm3lZIZ
/kuRyFgleDNLlQMXjYhIC+NRWwWYN4MrMh0iyd1vhmRDaC3W1wEOyJSSFVq7PhN/etFzSuUoaIPy
VLkOYYkjqR4MlSMQrGTL4nxKYwv/y2BX1rYMKheSFuaNhSj7tLpABGNY3hrwS1cBQF/avY6gTd0A
tbUovf/povyu25llbX9162fNe/U+/uLu5/e+3/0I5ehekDBNagZtE/Ozho57HEozuvbf8xe5Nb/P
5cRvLvnTzOZAk366940PBZ1rI/mhOP3Q3f2N+hQd0M83Px24WXnsGLO+iIfqx5tfFqmZj5ojztKY
unUBXRTigf1kI/DK7faBpuGXZLoGS7mhbbfSkYO1TfDFn/Vh41yTFEjGSqRjbH7IyIw++SJnXZk2
K8xGpGaiYZTPSXEHQHCrBhm9hjZfW1qFtmRWqtEPeFZm7Zo2q9iMWc8Wz8q2CYlbHyGO8INqn/Uh
CEIjfJBWfsxG92lSyAErnGrZR+XLGCfXkOFfKqE9Dt04g5SGEx3DfDniz/WKMj60Lb0fS+bdAzyI
54ie6CFDw7LSekQmahF/wc/yrBIIsTNlsPNrJV8LB/RhqT9DeDi7OPJGYd+61SaZ1FXpQsYnuu5L
G0ZPIBzAN+UPdaUEe6A4nlubS5l1Zw3iKAfJ8zBG57nqKsdqnkeGX3P21aDJGFaI/uzOBUYe6TsT
YB+qg3DMl7p+G5Snyl4XTfJU6sh9eYubusaBRunmpSb6gMaqoDbFuvPFN/1FbtX1thNuNrM8NrGv
HIXM+23eYK3zo3bV5/ENaOIjrflpbTJnnE3R2xIbbaWg3W50AujCSt1UYsKL0rVXI5GxaszkUfW7
jFhr472JInOfZrxeykjJCua8xepVncbIq1VxDPHv5XX8MgjfnaddR5xZF6w4Z0kSk4gt0uiwiPVB
OKHq8mxrYvprzpnHKuOibC5dgiknTrzvkBAkJqubjYAcrYlEp4CDc4xca9FIJgWN/WIVyo6hX7Nu
a33p0yxCWjxe97aolzaBy6I00ODEpCWU8U2mydgL+eaUwvhi0XQvMeqtVFs4x1LRoJ3npyLGlSeH
+7CuX4vSoWHRkwkxCcEUMwbNP1b04JO42XUjmQJdmTy0ERvD5KC8iEJ57TPXwyk4bNkJ8nUVMGGj
Zu1xaO0MiAGMeZxvfB/k/BUXswo5wKhwAlJ1KUMgn52jk+xh3MZT9pxq0aHReqJHGGZMTbZnInZU
kcfpkpyhVC12Tue8xnWwc8OAqa5OBKdT3/V1dFu0CuAnsVMz8kEq8x1p/S5BmUOB+JzV6ReRwGJN
p/5oGtXBaPNT29FUK5LhOpXdBub20WwFkw/y79x8p1XmGn0SG0u4D0wVPO9oHIq0P/S1eqUCRF+3
U+X5QfPY20jRanNaRxU67xa5+zjZ+8rVb6yoOCRRR4QWYM8xle0u7vSLqVanoLAvWdG91RFaJyfQ
b+u8fghIJ8dTcCIz3QuD8SZTUw41PPRJSn5iHz0Eib2xAtLOReTsmPFtRNfPKpbmZGSwaBzbuCZ9
ZIcV41oqHecmtVyGbbVDfvWoDv2cQJymZDO1N3AZwLDQRJtsWLckgT2yyRJhDEKWiBJ9mBTyibKT
kYrnyQE/owD4dPt1GnVPGS232lK/TTU5RwQ0rCbq6whEBkOhSclAz0XMKVOnT3WIMxZr32AYpGzL
aVWJ9OAG7ZHDyw4tMGhdzT1gq76YXXrwg5GA+Dw49T5D58jNXjvQmwQPpmdcrJsyd8+gz+I5mGIt
S1VbRZZ2H2nkk2rmg5EoNFjj22n+CumHvBboqmDaMwbrD1qgPAxqd8EmdlYT5lNi9jCO/Yuu0J2O
igB1XYm5oeG7qDRrnbVBtCkd+VwYxml0ZbNoomqb5PEmgXLs1UK7t4W6LwmsCkMG0bVy3XG6X+rm
HV5aQium1zi1byerCY6ZVRY7NfBvCpmdlLlV7pfpypysZ60QG1v3F6bBOZHIDRM11aBvEzzYuh68
JyOqDDvL1cMI1Z1Ojr7WNCCGamRs7BL9ETdFQY/DoUkRqNtato91H92W2XQc2+DOr+ptpkwBujfn
PgNKzTXfoUx8aMjA2Q3mFUnzXqx2Sz0WcFnlsLHM/NI3wV2kTrXniG6rpNOmmZxdVRPqnmrbKnD5
aLQL7uhsEQK5BXt4i1TbWamEqnkOUIlFpyG3M8SpTtnvV2kN6HjV9mV0b8moYfEX9kHPSEKVTtqt
w1IsZDnZi8jpeDqnI1wmsIIVlwRlb1sN48YOMveK0zY4arJsV5PC0Vfv8HgHHcfeDhACRO0VkLR4
zQ5jLUI6W16hp6DvAk6fzRbYdeQNKT3mvHO7fQwLhWP6+C2DCWnxFC8S+MpLIybzjOQAZ2Wl6UOX
Bzr6UFF5dsgxTwtrW1kQJAZFRQbHHojjJWOk/RhrNo0La6qUdev05AOSKLRPnQnVXp+aiHA6BqS4
6CZSHzTl2BvVviuiK7Jb1uYQw4+b7lEJ3wQlfvCSaCYoQqSKIXSDGv3o91a8nCNdKg3LaJcMm9bk
QGs0zWsXt9hxnCfTN05dP7LJRKTVdevGJ1PWqMlJI2PVscMXVtZ7lO5bvw8vqjW8+7FxYICNLDaM
VtxIWJEVfAGTdbAjeSIo3VgKW6KsSVD8yT2p0OVcdTueqPxLrFpemuQ35BRFzHqnHUblozVEW60i
XDopdtLtF1auJh6MYaapsXHt9vK2YdxEmProySy7y9I+W0olOahRv1NV5YTtYkkptNGHcgf2jgjk
cBfY5QF1zIMwjUNKYCnoGqaozjpxijc/nlZxElwPPpXCaBWryQ9XFV0sq2zeZegelSxb1tx0A9bo
1k3fkHcFi9rNdrka3VR6vEKNvXRxHKGqZtQ/qLf1zCJrMkVZjuQJjXawgkgD6pQG3TwaaYkhbWJt
K1v9sXNoLcbasLbQ+hqcsiktykWUQasf0+QxNdol03I0iJW+chOONG2Q7hRCsFzX3xjOdAXkksyu
Rrsbe/iNcfGQa0L1DImpSemir36Vw3uM+3bVhMa5t9SzHxgIdBuxikgQgvO1id1o50aquw4CH+zN
9F6M1rkpMLuzvjdHoXOzBHlvIX0i0idEfbzyR+Fcci3fZyZc4JRTUNio18R1HVMA7HOi8LoGTIX8
NqRDSFDFNhzFk9XH463LSgN8ZzgOgwNMs88fBmu6Jiz3Sddjn6i78lEFPbdQRbtO6i5dZjVX7fja
1p2XHuJuF10OJTqo4IRbRXIqQGongYLTWa8OhRaUni7qAeOXxOQ01JSIJT0V/m3EIKJ15W0QDcUm
nbCK2Wi8x6Y9TtW8a1vm46DxoMUqkbrV4AIvH82zlkRn+lxLMzbhUYZTfUTQPI9VjAfiR4J9D4nb
rdMnUDXmdn7cBXPMhZuxmydVZzw5IR3AwrzW+iE6ukaGdaXYBYV6pyMEmXILdnTfbgI191SZHMtA
BQFtIgW15LfWAehpwrYLDOcuaSB8Iq9JOkGdiRQU2d/jqJU37oA4OCvsc6wFyKpjEN/miD4/vi9T
98kcjBtYvfnBMghqaRmdrfXGfMKBvnNrTVkyy8s2WccfVkptnWsRPdjM7LZxSh+szgp2x8CUqnE7
aLHOMaKqFBMA9mjqkFQNoax0LfJhe3868f33+Q/DHxfuoG7PGCzXYHj44wGKSBZ10PUsIrqUSWF2
qqdh4f6hev2Pc6yfXLx/vIjQEFUaBrTD+RT3yTSc+ENl4J2PLuq4U7KTqoSMae+a/u6vr4WT6KdO
CJOK+VpsmjQmAUKzRPPHl/FV1eUUoFK469/6/Iti/A5o+4+X8aNL5N///k+flSkSLVRYii6m3BAf
mdDNtT2TTvB7Gnt/fSm/eKmZCYkOAU23bbk/XUrqkGIPfDi5qPGW8WsD9R7hprlkG0PJ9tevNb/t
TyPA+WOjfcXwjxkgd4HK2f/zt6NqkexskaaXAucUHEbOLY3HmjR2679+oV9d1OcX+umiMpsYu9b5
/YUMtFCQdcM16/C8lRX/5bv6xb3ww0X99F3V7kiQhpDpJetZFLaOz5zuX52SXzw3v/r7wMG5m7mp
LYTJP35ogU3YkmGV8kKqgrSurD+Gpn/nXrP57ukemrMk2p27fp8eGUScONpI/blU1Bvjkm6/Zl13
1SIvPEQVf30t8xf88w1A+xCxFDsxAmtmkJ9fy7BIJ2GTzy61QSLkSzesLP/tr1/iVx/Xp5f4+eOa
aou6zFKzS+a8xP6Tqfx/fB2zioaGK4oeku5/vIS4TK3GBIZ2IWaEZizDhf+2UP7i5gXxh/pcs7Ht
0Bv68RVgowGcia0MuzD1wirKYSOt7HKRU//c/PWH9YvvY/a9CUxR3GG85o8vlSkZxxahAcq2X3r7
3KLsVJvbj9f4x4gw31r/epC9l+blf95xEjXj+UW+/+//u0pb+VL/e8Nz/q1PDU/yWvns8RYCLviB
Nkm7n46nTSOUB+VDHva93a9CE545viZNyj+wa99n8vgYWWEtcMIa6/ncDv0bPU+6q3z9fz6urM+0
TvE08C4YSDBI+GnpMYHV0qMftYuV9k2yRWEEwN4pk1MM0sic6msnnB58hC162aSbPnAflDnaVIY+
FX6wcf0U0FEyfKmaAqVpXl2T64EiRsUEQ+UvBzC7tTe1+GOUpzyAChaA1w0uGiTXU44ifims0fVs
jUohqekT4TL8mpouBV5LypvpO0+MFxg4E8ezNvvmacrlFthU4BlWdxX1jbEqkfjwc/UwdYR9IpQ6
mezmi9Ym6FxpoQJV6ntU1N/6SSdojwNS3kKLqvThVjoDSTYDU79ReagmVDdwhYDcCwd8Ovk2YhwP
CkwHoaEAHcgDXwx+TL9O8B/69TfLJ5qom1CmdZqn6YiwkLbiPvYx9Mmwwp+XG29q8miNV2EtJljx
YHyRNYDpDD3fBp3ZG/1ogjNWOYqiWDco4phScMw2GvdFixDlr6KhogrPuhCBWpZsEWKVRCgQd0PH
sFip6AQWVCpzWYmFAVRuQputq1B2/R9757EdyZEl0V+ZM/vg8RAeYjGbVJECCY2C2MQBCkBorePr
5zrYZFd1s9mHe25akIUCKisz/Pkzs2sxcu4cjt0N+0T8dkvW3AwQfny8ZjXAtoyXCkVw1TbUBEQ1
Vu+8SA0u4fZTuVDOMPYp0LDGcmHiE7XoVCHT5GELCLxAskIY5xvem9TF9AlV1uOwjkqbYhrm8xWF
nfE5kCLZjF7fHqMQ5NnUhDNSada3mxopaaVFZuDraf9peKXr11HdU6ANjp62orcBADsF8F69HYYM
R1hN3jVmDb0HN/hBqyBxdGzBW5Zm4Ds96wAzGqu5TLJr1wzptGkVOF+b462HK8OnpI5Q59BK343q
j3yiLFDOGYJTo2XXzlKGR145xCSgxK8uSfWVMcdiHwiL1wYzO0WD2KJNOJjNhiBEyttJK96quQhX
JQL9qpUtjgVXa06jU440EvaN70Ws6CsV1Ks6O9vyl2dh55dU9jrWypqjT12zTL/FihfRpJCzpPYq
+m/IJb2JHF8dbUMRuYSYMsmcO0tdWQMxUAhe/JQF0Pyiz974zIXHJjGwpi+kH7dR4rKNn0x32nmD
bJLPDI/n3kXnuylpniKe4bTwKhbBwrOK142Y7iHuh+ycM7kqTC9lP19/w8IRrsUSgPuD+bRtI0yd
Q/ushfVjVhaY4QBCbyOa2AD0lMQ6BQw+Z06+6UV5ndRt/DJ7LHGMKIxYPblUCwEOrBYiwgX7O2kj
6pWFUx8g5X1E2fDSi2A3hi6mE0/7HJMOm0ARPyNOH9nrP00wT3yz1ex1ljfqIeKdeSkOPRiMks+p
1vO+6HL3nkT3da1HxwqD9qpoyktHWN8N23scMo1IZTNdd0vjHtym2ZdLe9cu3kMd2cFWdAT/6h7S
XTLHxEjj2TepPVjjVbRITRWnMaQ2241uQ3yYdBDgBOkzsz7Rv/g6JQltXoWxpwDhmDrBlWuOZw2q
7mZGoeSTQhKj4M22wu5XrCx2sm+UZxQvdtol+9Ac2JtYZDCn2rOONlDOlWWXijqZv3mt5JklABXa
Zn1N0cSdTQGEn4AUOYYs3VZTGVbbdB5dfiStAzTV2btq4pkUlGN4kzNjrlo+Lje9+vAsAmgk1+Rk
31Uy2iZkwHzRVvFtRnpn4xosLnnC9H6bgLjWJHzxytLn7ZJELh9tFmoicGZfBdC3ATVZLHRya+st
CS1jjfxs53DZpNZyYEN5JdhZ52ZyIfsp35qjMIgtmdnWFFWwSy1Fs3Gk8DOqTzcWxQp7w57kJqlY
VEWkpAP2x75hKm8RdRD7KOdTa4xjucoKE5dDlCmvAk8pgZ0IuBl/UtkMUjk+Q0z8uu3TsRatkhxX
aR1iPQJBCBYQcfjX8fbvUcdkBv3Po87da/E/qw+wo39QP6m+8odxh/slQ4tjePgl1E3jB3cDVnci
2ui1Ht5Epvof9F2VrBS/jzS/uRtMkFBcwzlJbG4UcGj/mgPR+fl2qiAphtRJcUocFl/J0J+H4baf
pRxSV7t0JJUyGZ2JMa0tRWazilF6VUq8XVMKVoKUBfmJDLpSt0ZkrlHpXRnC16IUsEppYSjZJXBQ
9LFaKWX0lr+NSGfEa14qUZ/n3jwsSlurlMpmIbcFyG4h8luudLiwy24npcxJJDobqY57c7sOTHHj
KRVvdNnhNknzKCbnc7LsaZeMFeQE6AR6DjI2XfA0aM4CCr9+svqq38R6RWhHG3dJWKFhlBoBH0yB
sG39MYXmyJIYdaon4rUAXtpIoEKrhd2ytoH2+lJlgzbfcJK7w47OiDFnT9525X1fJ6LCV6ZbrEHJ
j5fl6O0qvVHs6ZnWXoETvp7N7SCx5qdact0nc8ciLYOvgB+yF8l75zgfHKg0QZDbWpndZTY8GDAt
aT0BisSQwM5zLu+cSU9Xem68JKgFPEJZnbKHxX9YDic7aNtjLYo3JOCkIYAQAWIhmAM8y84t46ZO
Q4pfeMJsxpkEU0QG3mH2w3wlNpOwngraRjlQy6uKiroLQd/jWnO8beF4V2ZYHYqsvGz11s9RJDPP
OVI89cTcrkOWNOdDSTSzLyxx0HtM7hF/bpbv0LACmP4rkUH35ed5pNwiPg4xW+OKl2/l6jAzUaDz
Ky5795lSOfIKKiU+h5P1JYF0Sg1Jv4SR5ksk0UeXcrz5RrQEI4QNzTRRmkpTibsQkSVQasvSmFc1
8ouGQFQjx8jEOeBA8NMB+7vSawaEm87NrwC1sks3FCcdBCw1H+2Irp3IHlk/eZRoQLRx0SbhfsuV
OOShEk2oRRWqUYN61KAiASHeQ5ptVD17hZKM1LSgOU0DgTahZKgJPcpWwhR/5SBH++Qj4egclHil
zaHcmkrQIo/H+MlJjtJFEmMLIDNYdX12XtDCciWKzUoeMzXrLu7Ht0Jrt3l73/S6vvZq7yZEV6s4
pooKPBZ6m/CSkd4gPAAocfGcMKow8lNk/pIrsU5zOA2VfGei40GkwPaopL0ajc8LKGgU+YiavVyO
qID4Oh8NVMGy1WChTsxI8s2sBC4IpR+GkWqsfKyb8SJCX8yU0CiMeVcr6TFGZQzQIpO8IFjAcBMp
lVLJleYYXHhKwDRRMrOMX4ayOSqJc2zyA2CCC5qdTvzKBWUCORS0dYchSWmkbHHntf2lnEbs1jA0
2uFzgq5ayIQ6SKW0au0eGfm5RYEdvWGLNcFPTPelQ6HNe/DstDJtTL0nJGii0lVPsxJ1jRzHx2jZ
Fy56r6vXRNmUBNw05lOMJjy2zTpTInHpWjcmqjE+nBtDycjzMpylEpYnFOagYIjyKM+O0J5jN31M
jPQiFO2DU1QCA5a47VCrjSo7R0wCqeiBPlvwnPm7yNG3rZyPGnp3jO49KQE8nHU4n2jimVGDhDBu
eZMcSyWaR6jnbSB2g5LT+354ot6DnC2r+QHFvUR5J8Zw0pgsVvWoHSy0eYFG35FjztHsR0pbvCW9
oI4RK+Ry0ylx38lrGBLNaap4y7p5TT1N9kDQ9yXFjmrV8tDhE2gtIMX4BnQz+jbgI5D4CWiXzxhd
g90gERJwHKQ4D3RlQVjwIgBcvQBFRcEOJoUWt0JUpqcY98KEi8HLQtgeBH/1sqZOBKeDNcS7AucD
9ptTjBPi7zXMl+lSIZb+fDa56OP2f67eSNH+0YDCl/82oBCRYDahzNozhOtRsPHTgEJptgBnTyxP
LWT+OaBgNPP4Gpd/AWAFBNzv/kvT+sXFmUk5CDmJr8btv7KP+XmzqRISuM/4D8vg9+MT/i+L2gai
RUt8JwSTzfXTOMVW9F/WsyyUf9r4KOHBJa5I7tDlGU0bt9pN/rAMzmm99apsni7xkByKqPd2aDZJ
s3PyCeglly7IMnPrL6p92dYqDnq9c+WdgVEMW3nn2Wencbz2UIRBfe4bcvDrvDft+qwSiNPWYsgK
8ZHpjCbtKLZlNYpqn0Z5vkWDEv401YvfoKuDmQI/DBuq3rblmPimzWOkGOzrxClCH9MolIcybPxY
C0lUA0BONCgY6Bh3RbNEn3nSDTvzVxXL5aa+9X5Vt7yM/7fVK4shKfqSwLovOayqp/qm42qCa3TZ
LRCLVtoUPZmVfoqmqOEcR/xNsaOYQ+0zil2Mva2vnE677KPhm0zN+9pr7xq8CWExfLNlTpWrDdom
ja2LGt58aNUXeEAOehimWIZ6KlQm+0RgG2RPTvVwWPoinuiUw/OwlPORx/lzlST4YzIHaxldJk1s
J3uviMjpi7fITudTVJnO2gLeRaBQ58ZcZpsZhsfMQLLqPLYPoQVJupsm6bPEW07kuU9DoPkT2e1O
i0M/z2SziU0gVEtFDVJ8zkdpbgMTT1kYVf6yNAegAbeRrDM/KSStwVp6aOAFYBfXD0U7Ndsmyu/o
mDpFJlcrbRb293lIW3xgIWB6w95NBPCJL9A9ZXVcIWHd5xRaTlV9Hi1cjHqCZS/tXAje7kBSI5F3
0pppLp8I2lNPyPIh8NiXBTT/ibk71zbFn8zIB3wOs19m4sOy+3cd34fPkJSfTC9XYHKopTdV4dI2
MFmxxAPBQ9bRtaOXJrrfuuJ7qkWHxdYuO9156CLNzyIwD+7cAH+m9svUL5bcvRmKYgfeYZM0wVap
qrk9pntOYt8dO2NTm7zwsnD2rRge9QWgUSXDDTynl8UezqXASRI301Fm4nrhNx10zmDVQG7pLNm0
V6PVPzRtOpTWcmFS9OQ532iOKd3liGXC3ckk3DaOfKgXnZFyehtIjUCW7xgO0wtpzNdhQMWDCaud
hZr3nIUGTDTb2zSjfkGPcLgerSvsz3MOxzta2CXIpd6R9bh3p/bBAm4whRicZITDemBsZ3HIWmHA
UlemB8LK8EoH/VulRfeumz9QOEgsaNw5YfVpONOx9rTjNMGXYi9wrBPPz4B1r1ghbcxSZ4Lsre7W
GpMjf76TTMSL2RMomM2M8bZkhDbMClSYNaX7ScuN5xIHwlNL51iznuY5IFUSpLdT4LSraaJ53mpA
jeFgjDa1pqxIihIXUe21qg0qe0Y+FhcDVeqXvbVwL8roS23XfWWrTxgbH+rnvI6UaB24bwu0FXIr
9jetNezt0NqXQUTTGDtqWDiW1/Jmhuk1zADbZ1fFuQx52wnRMCyONQQREAW6npwwqdzlVYoHbSQK
OlRtuEs968m28SVCwah7bdk4qu/CxRV3Dij22U4LYC9oBG9WmFCLRDc9HznuNpa8p0Up5XWcUz+c
wwtKj5bVnAY3GAPeAHKsE1bKbkJ/WaCJu8Dmb9msXto+pXsh2Q9J9+k041Uml2QXUq0AQyR7Btu3
w7n2QuHuqndb2nV1ekOCkf6lri1Y3DCWt4GEHB8TKKXHqDbe4WxPfoWHIymG54Hlq7Q6bJtx/9J2
1q5q+GtORxiaziPk4W+yLx6lXsLln5K7KZsvCm/cdzW3LW1MHsNoPsQjH9FpOg9BDgA3oNIvs2+7
brmSrf08RfKyJDHrWsPjuDRroudUxOGpHiyPh4VAg7a4fNnpy1JD0vIS2ye3woKZmgSWqfEhbKdo
G5kFADtp3wFS4RXMuB2GhXNfD/GxMwkDtLEgFxid6oBcsRYX19jtun2ZhI9yrrkAiGYvVfDbmtkV
Thgj+dPnkXOBI3ffpCEVvMBdqmETLOW6clP6xN09I+sKzGlOTIfCFVfbEJza91hFV3UfvIouPfJa
b+IFRp1neEern29aKlLWidUeE6HtG2m/BAyIVN4pENAd+fMN64hlBzOPptE4uhbW9BmIUao00Iuw
CPsZS3wmFO/XQX2fFx0btaLcDwSs9q6XK8MfSTLDwKQZv9gQFQVVNfgCy25X5EIHQ2aN12xWQMPh
tqUOr3kC/R/uNOFeCQXuH4u6PrW6E667aMp3qBffY8qQN7UItaexsnm/LEqgZ0+3MulWf5+62NkY
kASoIZ+N80ja+tdB9T/q0X+gSVomrZdMIWxDgW7+PILoqdTzvAi0yyTB7fct9d4s6f8wAv6BpP7f
voWatH6YcmbexXba8y1EjZHQueqrK9o9/vx7KIvBP7WzLwsHfwybrZKq75RqD/bj9zCMfs5HLw6v
BDl717laOtxR90Tn/vzbKMX8X7+Nkum+5FusKP/iPgjLhHRBOoRXPXfGOqHfEIegVj/01rVyiNst
Jkn5d33gryEWC/37T68SaLzrpl/+XdVVX/nbLcLQFU0WzCzYDbKaP605odOSb+QewUTj2lCdf19z
Or8YaIcM4P+IcTF5/6bq2nQSCokIoyNOYJ/6S3tOQ/787lf3CAR/xfzA7kGZ4Bfl/od3vxdopR26
Lu7UKS53ujKwNkZmbLKpeIwb090y8KtaZ3AZWeowC8juUEv9cyhFTltdPh6xEJqovCmgONHvwzLc
Sl6PjdnQiFwWPQsxxIHESd7GgC44/Hl4XAuu1Zky5zrKpqtVs3cd1fmDVDbeeqQImkKVC+x8D2EI
jFXEj7hQ7/M8Lq4ojGZ3odZmvVqgCebJY85OLbAQ9FIImm5KrnjqjQ+2mf0uNLTxvqi9PVzfU1JN
805MFKe3022tj1dTWWUHpvnLgSopxnJfijZZD3K6yB3FjmCN1czluZVkyMLO9FOcXusgbL/PMWcz
IvWwdZa5WZtx4IdxfWd5lIVMFl5ZDH5t08SHIXNedEX/oLToclDWRXchKoPLcY34sY/KWN9MaR/B
Mko3nlxug1Cf91LTeWn6eDhlMQu+XIaXXhUfqZlSi75su3Tae5Jk3iquOb7CMvbHhdhuHVA8qA1U
FWEYi1Wxz67P3GszJL5pgq+At8K535m3CWSpsn033PKTLr0tiGzYdzV5kUhvXyMWmOs2YAFpOR37
M8BNDGm66ieA5j2QVMgs0iJzuydre8vdr7yuc/1cT8m0FbVe4bEv2w0taoa/GMa9tZCmSQeQbJp8
wFzkHesh2adOF2/sOoDuRpjPDdIdTuJTW3bXY1BuOvKzuH535UQdOyipR89qLb+YDG8dqAIsL6Ns
JHbOcz0/GWW+swr6U8YZO7E53A6tBu10GT/4zhM6Z0aHe61fEVQ3V7U+XyeTazIoR2ev14ILIKdv
xKqAxza6cYDdZb9EWu5sa6f35HYuqPMWy06mMmDFPlSX4aCRcQ7L9oZidAj+zhx2sGErQP3co9/d
yh2PgzTxszq7ppr2nRnsZmmOGzNonj2LDZk102oOf31bowdXfbpvRgBoveQldkM6X/NoeTCrkmS+
MY9rs3LuYJKQb5k/sqhONxyJt1kAoNmGnrfkw6VBFEn38H6mNreQoo3ek6XyDl3pvE+Kx4eHGHfd
gMWu1NubjuYzPojngOD7hoGxOpZOAzcdt3qdcjctISEEoYsYMM18xQQFAAlt3iV68JlVwXWGt3tj
5Z24GqK+XNs9FoZgyU61UYjtIux6D6VvoxG4coLiOCZGu4kD4zlB212Ry+wuIvrFzubYyA8hgvS+
FDBRssFlQNWziCHk66H8twhncfb/yenUd0Qs/+Bk4qt+OJmottXVZKXkMpXZ/EGAo20JPY0Q+j/q
y38T4OCG4HRT+yvOMlsdP7+fTO4vpC6pcRQ2RrWv8+wv+I0M99/8Rg78LEx1TDNAdihE/3lmGozC
gNPnzVcg1Nud0LJi21qihbRsukF9ckUyyVU9SEz4MigqMOj9ncilL92UBWvD+y2OhLyYiqmmIc4o
Vn1rHWllpwlsNtudoXfepV3Chp6AXtwYoK1XNt14J1bgEpW7fPIWPVlrUnwvapwverTc5DH3h2Bk
uaJVA8/UkEkOuWZdlAPt2ZWTruNy5OHjss3teZagLRs3qallhyEfe1YXciuaSO41B4agNIP2gLGF
a5hnF5JMUXpL5PpjTOu7cojRAlUxuLC1QzJp0zH0SBAunVddid5+wal169X8LgFwYnaOI1CBftNO
RbYJRu8sOINqk3X0FA43IiUz0lcPXlKfcGS9CA0fCcW/63ihgrBwkwtLzuQORnleKvd9oeaOEsq0
XrvAqmanLOk0GOu11oPki1AXPSP4nkZmu5JuuQtgVzlafS6M6imJOdZVAY7K9zXbUc5vS2xc6uC6
t6Nb3cZRCLArMWv3ujVdbfYxZgAdiPh+3HOgpNB65+oskqrSZ7ew41LiG4L2PN3bERj5WFw33kpn
wPsu4RQ2jssNDLh60bcVwlVC1sYdq70XcoEaDeuRXN2513CA1Va1HSZDbtr5I3DsrWFU3doIwlfc
p5+9E5YbJ2Wl1VkLI5DosrObGddBM9sUP4F0rJLqJmqWV7fG3aZ3rANYsNlrOtbYSdlIw0b3LUnK
m17kgodchaSXJTuWLGCvGtC74GR0+2Yaw0cWjB5OlPYUNl22GbScdYTN29VtOV9o0+02zryIvZMV
8bbMW+KfIWjruPa+VUFynVKku0bKOwWj22zmmhBEJ+NXGKLc2Iby1ZlMEFsT4aVWC5Z90JXWBqte
ChAWu3gOoHcl9KXaTFZoMc+Ed07g8J7ihN8beX7uAqKkfZGivpLlYyBAECKXfcq08cbWo2fS9QF8
q5zAE6HY3Db2mBi79RB6cC7bdpNphgT1CcsDrWdlV3q3kiPkRPJTV+WkHZqy4/4xpt+hvT0muYk3
arxOFPOLipoPHlKXjRHmUHvdS3RDsU1cpsGgLYYLb26vzcp8J+Ncrdoq2pvZ/DYm3uVkFHdEaZI1
hX7PWY1fvdVkuHMh+kJ4BaNCI/RzW9Y3RggJnt7Wj2Thtjwbgb/0I7C0TLNXrdVCFg7BDUchYhw9
C1utSh8Lkit6A1fYHigIEMkLQBN2h12JUanE4UML3hm8yLek0UgLDkeu4IJ5VMIWqo4BLrN1X/YM
k3A+Ek977mqSaTRil02erUanJWgTOk/dYqDphaa3HyoHREIOJmdkCl/VrWddGWnJYqGWS/z+97H4
pf9Y3Kz/5FiMXtsOi/ev1tzD+//97z+uenzVD8ci7nqawgyA28Q6OOB+PxYBOCr/q8W/oavH4Fb2
j2Pxi61hgdxQtzah4Bq/H4tUHKMGAwsgSUvhDqmKvyL7yC/L+j/v+FzYcJvzu3BxlKYBeZxb40+r
BPXNKwoErwXjPJigvl3p1vgNHYKKhFq7qiK2lC2LIuiycJtm0BwzNjB6zFH8J/ej7NUOiXrKFOMF
oUFX+dD4VBFNL11z72b9zu6CLY60/Tjy3yTvViNLIBI2z62ELxyPPBZYurVT/Urt55l81YeTRNvR
M7c8G9nu6hW3Aeu7jYYTzh58grZM11qc9/ukavaN551aVtqlIXcL4To6iCJSBgM5tPLBGYfL0Yh6
VAMr9qPFeM0asUMDe4oIje2cAH5XVeez3+hZCC+PLboFO1pOSDxuUJ3oPt97ZrJNo+QuGLpqjXA+
bodquimwpaxagNiAewRpaIzH4FWM9eKOzKuFXtDO7lx5ZvaO67TyZwNTcRzCcAUCfd9kJdMvTypR
jDD+2uScWmQU49CgemGoMhotHJ59UzlzIXCBk8/HSHaIJGP20MlGO+ZE1Eh7cYxE9apwPQraNcKb
sjtTwHBfR71vdNNNPMXatle7a9ZFvljcT11TWopR3ExRQf+Z6z0niX47txXjOtRrWGZmDmTBvF/y
+JnimA0VqYgNbspWMyacjqMgqcWnoiDsk2VCdY/7eYvJOARbbEKliB6jhJ8/nO10tTD9r21Sbr3N
NrsqTAt/Rf9RJulBg3k1Agqz4pYutU63uZTzfcTU0pJCG0xZRE/A52+nxproVaiwn5iE3kJssHXR
ERaePQw3uO/WGY7ljZ6nlp+X/VVZuqyPA/7e236V6oxqIq+eIa1fwAW9aGKSi/SioQnZ3BctA2Op
18KqyDWTdtmu8gOzvCyIcNax6p3XILmEbXwpkvK5TuoYSBJyD9gBjrwCSgI/6DhwodazYV/r4tow
qM6VY75P9eDUhP2BPNxDrw1+2Rbo8yXQBwpM3DwG5dYOIPHtUfXhUVrniuGJjfRHOxhrLZn8MYZu
nhQQyBgIyJvxp5qd67Ieu3XqDXdumu060t/LZTecAy3ezcI7hFNxpcvi2hiCPWv7K61HtBkUM0Rt
VBT+si+jZWMsDbwCrv28QeNgbWsY6mvP5iXnNy1yWa1d28gREEix52L4jNKJPqrcdLZGpT6qafs2
JSxoS/fTSaYePHCdrIPe83y9kIdIZ9e9YDJp8B+YINcLb/IRa9jiTGYAlzsaqUtxTS6ziIhT1B3L
IE12+WC992RfdtDk3ktzeKqX/jtmsWRbtvgyQnO8niEmr2E8DkCn7W7L42iAkNwXhDjJVXYnnj3K
Qk83TzzVNXxYMNGyIDK9M9Fs5MMgUtf1I6tBJLPmis9SXeBpdaZm2bp9OOlbt9CsiSuAYbp7rjMg
qhuTs/ISoMDc33m/Ioa8RjNP/dSXp1FivnrCvW8MV2lX7cuQnUiVkKqhwcvaxTEpXKjar3oT3rY4
4NZdOh0tq+h3jdZMvqvZJ0lR2QZ4oaXqUr7XGN5RLG0sIon1lGqkAaIB6VKn9fpolryZ04LycH45
7HZZvlSB9Yonzdh0bgICdak/oeYPkFlLgfF3RHoTOMibrpnWczqdZwDvU+wlu7TSzvSG3WhBf8rd
8mWIR/w9Jjsl2p5aHak4rCR4EXM6ordIMaLGONVrTPDaVq7FzsDQa9Irx/JnvBNGchm0pJ6T+TmL
jM9Fp0K7DeVnOuTfChFvtOVozFOysSQaaNjcpgQaViISaHCk4k9Z5JxFmomNN5WKjUg1OGMnVxR7
XeNnWfFmvLSddNnAQWZBR8ME/gqKi6CXbOKpPy9iPnkSwByvQrV3CsKtLRKpb0KuA4xToZvG9Ik3
6CIs/u+7dLPI8NFocPq5VhJsaFVHB0u9kW/OhOel3t6kqXu9TJTTmFCH16M7lVf5VI1bjPYXldsZ
KyTlkAYK5yoeizMAyHw9VbQlIju3ecvKonu1vXHe4uC/m1kIslhhaRl4HCAYqh6CnjRCPxaPtNkd
Ey3lZ+yXp552GggCkN3SbilXFAtra2bcj9bzHnhA70SVXVDV3K2M0NxT+/6AHuVrsTMxMosDa87r
gUuRJ8u3mIMOVVpcWtx2YEAH66GwAj9Y9GYtRQO1ZeBI6GgPIu4DrjhND56clVWAJmzXqP1WUlgX
W+1VGvfQjp0dd+dvlIDuqY1m49QbvAF7a9qmghuH0N1641G14OPWpw2dDd6GSwgAXE33bQPIZscL
um6j7ErQ5IRe0R37gg1pbXtHp50eMox8WAs4BHlk0VaxhNRX6+TuPXsNOivEgAZeL9SNa1sHdqC1
lQrLi/ywGBjNB3zdKMB1AOHFPFhWfB31yTcNmvpOK9wC6SvgASfH/ZIbfCSke200w8LF0Mw3djl9
L8rwkQjkVVs43xfL/D7ZYgel56lMQxC5lb3pzPgQ5NWTKN29aTV3o2uczERDIZ/Ttciik9GMr2Ge
+b1jfHh0aYZ9fLPohOq8TtwVlnqI0y7Esz5a/z12/zp2I5r9ydgdfzR/VMOjLFW/j93iF4xMTN7K
co3W97MdnL9lg0pIHQsdzoXfx27To4aHYZiWHVWj95PbikUVmUz6NKVjskICxP5XtlHqR/tBWlNj
t2M4BGORSQRR1X9LkppRHhllLK5MFzh2kC9YnvSXMnwXHpoITp3GLi5gkrB1Gj3jYqz4543hXNl6
cdXXFWCs8JYSjxcmMdwr2uS3afRUNNKv2cWbhXuuAD1SYfOs0zqzyigQWRxqYyXWh5AUK8+Q/qGa
ivuE8MSq90S2rsGJbIASPAcJq3RpnCTRi1yvXxdoUXqyPBmWhuFq6hhFiy3yvLNOl3jf9jgAkmJ5
0kNnP0Y0vltpdz050TMO1QeqZC/YEz2BA8pXqTQ+NZ56ddN/S7Fbr6xe7hpP2y3Och17zJj8yfzK
Ay3CaLVx486GRcaJ5wTjoYtxPAEpRYm3fKfWdk070OuQu9/qkYuJct4e4J/qK9A9p0RkKOOjtodY
hHoRN8G+Zz9UWtPBgHeK9nw7Vv0tpRDNQybn16xCrLBr9xhG4pGlH9tAuhoqMZ2BisjVGDraVibF
vhu0ZD31/cmy2oPtEUSqA3mc9Xf8RC9h0D/MrqTnzyIQwj3gJRWtt8pq8wxh4cN0UCbQcx+o9iDB
I6xhrVnU3rRhyBZjsLnrz/uknX2XUrOKhV3f8pqFYcbSZQ4TsIfAr4bmEt6hHm0D7v7A0GM54atR
RXJWJbpD6UKM6xwPbgWFSgmdx6JhbvvK87Vf2T5aMsZD0kmj4xmt0n/TVxIwN0o2QBlA3DCqa45N
D1dvjVZBkLBQiUJNZQtNi9wYBgD+14g/hgCirZKIXlp/KkmQ0T3ZzCqt6KjcYijTW2cBD+uYzqUW
UYLSAWYzydKtSi16yibruXDJQQ7TADeLZKSnMpI4Yt8TQpOMDB9L18yrgThlaBORJGd8FippmeJP
bFT2MlEpTEsO19NXLtNL91bUPLup7HaYujPy3+7z3BnpqrLwrZHJeW9dQ6UuRpCoOfeGQuVAhUqE
ZqF2GT5nw6YgKgoL490iPSpJkRoYnlAPT3ZR+ElZ3Qwmd1Nm4odKLY9skqgYvMhUgYINqQEJiFz4
kn/i6uNjuNQ34FrXs6W1F2P7XEjZEj3QypPmOEu84beaVsJJN5oqnbJpvda0iGaoZsJ9rECXWNhu
+7kMD2kE+d8uLhcKE6nk+7RRBNeZNXCZree0+f73ufJ1rkiOgf98rtzTxoHR/d/3OerLfj9YDBLS
CBUM2erw+ClWbf7yZSz5Tf745zIH56znODo+CtUWyFnwm/ruQZ50BLkgeKw4eWls/QuniiP4uf7l
VJGceMS6oVYqp606dX5Q37moTHZdt/l1gQ3VOrdGz0ky9zGPtBX5XsNj5h54bGZO9b0e8pelpHtp
0oo7Cga42jlvM577bdWH+wZITl3FBaYoqnh6y7kUnc7SPukz4A1kLYLSG6jEmfHc4YhbEXi4hJdM
9cMQdVjLyqt27t41O61W0hvfrUortxGNyj2gGxZD8WmyFhQPiuM0GncaUcpNGZnLZQRLekNaNGPx
0bxrJd7Hpm8Uhm235Onsk2h/0yZ9F40dHtkp3DtOB/g65W6UqmR4PT6PrvaQAV1eJ6l+Z8ruKWRE
8OnscH24LvZVGM/llk1GtyLo3Wz1OXzl01gy9A5szimEjGPjqlRjG2P0HVbmehUx0U2GOObi/9k7
j+U2liwNv0q/QCnKm81EDAqe3omUNhUgCZX3vp5+vqREXRlcTd8BF5yIZi+6WwQThUSaY35j7PUm
XWlEfDVmSbRUY7eiYzQQE1ZOw6uddSpXDy0xYz4IKT8RRRJNOtGj1iPZQ4BJPP9UqfVFNYX3BgFo
rIMmVTWZmNQwLyUeloC3X6dBCO22kSh9SK2P0HN4Aw/yHIDn+fQS7crAcEcRARvoxG0iBTFaQ8TH
XC2XktHTQxU0a0MCLUB2exIFVPTgb5vL0ocpUbYyYurDnVlLW/xjK1K8ZmvnpJuyk14Uo+6QNOKt
WxWZuiJXWAGizedV2AbI8yX2KraCCvE24n+z85DaEDmBkvBba1QhgPQfPdKGhPTBlNsLGR8pV5Kc
clVROBlUlWucpEM14E5hyYXbVz9RGCc1SSVaMZWK3wV9Rs/tYWDJJDKByGgQ+n2MpOra7IzLnpTH
j8h9TDUCwpcD7URTWzi4xpN518CRlVP/IwCAvSnyqHhSyahEbtWJLMsm3coieDq+Sm3dKu4lkZEl
dX8niRyNPwUUIfI2TSRwkgrtSjWR5lfyL2mNZk6YF2f66FzEOvyWZhxICMkMW/hJi0Ekixiq+eyV
ygbvEELXIqfsm5aKlFYNu8bDOQ6cggemhSRUi6P7Np5jZnUHqAI4l0hX2WtzXSSwdmM1q6xuMnof
MGAGRfUQmkGQr+jJ4YGDphHkWPSMr0BOBIsxK0GIkjGHGR1K4kLTDV/SafJqj/w6HkpZrLUbHTnE
8UssE7xJ5OS5VS80kaQHgbWwoazRlP0ii0y+sPQv1SR/ckjxQZudF+N4o4rcH8nBYGGO3GBjWl4H
bb1L8HrGXW1j5xP4RAeez0stASEoGlI6zbTxi1pXn32pPenz5iqhDIFALIrmWTOfKFBoTje4iqhZ
wOhTYQHHQvqMikbVNF8KCavKZOgFlMjahWX12RJ1kDqnnqyK2ggig+a2EYbVtSHZaKTpD5y6JboO
Fdp1lFcaVC9mCtprcw7kE9TGhpVftwBap27biPqMSqHGDIZdJCo3SOpC7CnrhG4XdZ1ax0Q7Nedl
ECLdHww3jYFywABMIhkATJSxIEtlRsWmy9kStnmWVCHVq8E7zxM09fTWG1xL8m8QabjIC+fG8dBz
HzANNKmQzdoxucYF9tz3lXLpN3byUPUoynl9dyrhu0FdVmxsI7rHA6Whg9THS45VHRxx8DhkCEu3
OgZpfbblQL8e9Zx6pJwOcy6Aq0Lv1FmI6UpHu2EVyBQ0ulrDaNfMbz072wJP1924TE7roLsKDT2b
qVSTPET8MLmulAWuDPxt190YZmRjfNw+1uixzpyiQpojUwNU9kqA85P0BSE97ougCle2gw/omD+a
Gnu7TCybdqotuclArIviUAY2ErJ4lZcPip2Kyg3FmXQciPFUIBsB/JF5zpltFJmMtaOMj47ALDvh
fV6wkHoP3fvGx3GQr5zOFk3RXgOo2+A0vXTwFHFNtDA3VOrp3eoAjAIdecXcSJil7i4Y46ueO9Ft
IjtnYqhIoF/kQ0QbWW420VgbiSpFInrm0tTPY52mhKTldOot/CTkngp6bN4ZDV2DbHw2cuMS3ut+
UBiu1iPQ2k0I5U5i6bXZKfjNEtLvdMb9P8wsK1vDv9k0SVGB3FFbYLNy/oA1VLKpp/IOB/dyDvH8
Xhr1iyZsnvsywYohuuOyl0+wsQb9azubGuinFZa3kM3WSJL1OBQgRZnQICT56NcegCFBpUFvUsfr
qBLeqZb1FA65NMeyA//3vMD+L7evFS8tF3hi4yYAsnhRFClouqT1NnI17kyJxdAEnbrEEul2yCi+
2560DX1/V0XW3IfpMBuiYpWXOX9vFZc4GyroN8j+ApLLUwElc9k24SddDq1ZVJqXIA0+5rq58opk
WE++9iWSUUbXOuh4qloFC3vIEJm1APw3JsAMGU3sRRbR91XC0ZnBV/hk1t25o2NRMUGzmVUSp3Yw
0pEHeN5Tyo52cqaexbSU3Cb0IrfsipOwS5jqplqNk45ZiyYaqXK8jnxsWUMbRLMsMoRSFT5+UZUs
6Lw9Bz4uHSgHVstO0WQ3T7tunsujm8cUJEfJvE9tXyE38ww3LaXboOrvaEMBbQpxge4TUjdIPn5L
N9unWzxX9eCmMa0SPkCzaX1EQ1LZuaMSjMUGPGStboQtl4QSCeUyV+ua5eBjAK3G2UYicmJDRrLb
q+gi4/o4qNznzBZXSLQuTbl3ReOgJ7mUCvOLKUu3EhCtuZUKnJwTf7EEwg0I5lM3VicONzn6ksZT
jTRKabcQmn1li5tiBnGx093BjO/9NEUEcahU127xl5dS8P+PSByeEhggT6FLuGq30bYwKsrdbRSd
qyF0RJhIVEXjT75kFPi/RLcKRi/g0aRrC6c3mKD5Rnf6+0GI65jBBHCwyLNF2aCwPxp4ZqdxycfR
QXPaPaSmPNdPbLBltj2S91slQI++/4ICIKXjHhwenbSl3LUPRSf83ysF83nkwVkLZ5oZNoK3ik1A
XNxQsDZcA4AR4eXAOV1lZ4NeZTgl6lvFbp4ijGhc6K/35fBiDC/fYQCwHcbklnJHOu/hWuSW/NiJ
No/dZxo1Pauf50l7WtTVMpMHeyaPNbRzsPis2mjvEBsHnQkUb8j2U1ptJwe1EL+aNugTPoQRsFYr
uis6Cg41UZ4Vc/QFJSszcBAdyZOQh2ytlTxUX8yAkM7Kh09aSszXQcoJk+ihtbKNh7ZGEGc7iiOP
UdPi21VuU0jTcz8dkA2lvo5cyBouwvUQKIvBSH0kf/OboXbWpPYUe0EByBHqJBqS3gq1YI2cFrEj
pHtOqyHftGHhJobcqds6Uka39C01vkqyyXwY89C0z0sJMYMrxMogMYy2CdqwkP6DA/8KDhCibn/I
QVvWTprtDySh/N1rEgqXVGAKLMpmCqVMAQ/4DiqQP9DJV/AsUElTUcL7q7ppf8BenHqiggQNLxEI
vdc81PqAubho/wPC44b8Z9VN8xcUOIByJBjBgZuKit2WQPb9nIcq6AClEmjuiwlHGiSvZ3qHeNKA
V82URTmEZgJxZL7OdGFog6YHlnjKKkSRP2glJBGiuYMDTgYvDr7ctq+LXYxDjlcnLoJDZ8OknPqO
vp4CURMTpjqB5X+qx+SKVkC8MPHdcWQMePQXKx5hyjMpZEOpMOpJYiTEbGHek+Pi07Yvdj7ppS0M
fhxuLrTIabo4McZCxlLDCyggmi+EORBlyYde2AXl+AbZBH9ztaViGQtTIfrbz+g0EkjQ0HQnYT0U
ChMieiqnDa5EGu5ERNf7UZ/Oat15THAv6kecbvEPX+X4GpnGJMShzQsDx6NEWB85gXGnQeiY8uZz
H5hLzIc7hMEJKnrHvqTadILMEta88XnUg02SFI9NCGY7shKQr5V07wgbphx0lowvE2gzvE0oxSG3
1GwyA7HgVNg44WCULqXI+TxY6SWOA6jP2/l5UV5R91umXLOjpVyg67lsteF6pHKK+hD4C7yjNAXR
90R66HTvHuzD0mxJbxxwVmCp0sdwpLosYUSVCksqZYjOR2FSVcbtlTx4xKXCwKrUN6C+cbTCsBZa
prC58vG78oTxVWpggTW23U1AEZr/HS6JfZJ5g19Wy2N4JRbIsbDS0vt8ZYQyc2Mr+PCOJ9g4RyCz
JCIOYcWVC1OuEXeu0KZj23vPqKwj6mXi35Wb1xJdAhcZo1NHWHy1wuwrKEj8wyq4lvABM6JGP0XC
mzinjG5tL3uiWj/PvPQKgsIzhpAffUcGiKwaBIZ8qHUhLMccybOpjwy+CyBkqQljstDyEH0JY+SK
2/kEKMuY4hUl4HWsolSUtQO9QqARtmEUc93E+ky2iocc0TNHoeuHCgR6UcIoDUQF9ctBqQHBwH6Q
APbMpoEr0lSc4gzuAKzOmEyiJeKWuQLzUFLoh9s24txZC4URFlc+JKcAJpYQ+B5CHN0M3bjGdjl0
LWH2JinYvqXCAC4TVnDOyJ0Hou9zgUucjVucZvT+fDSmc7n1nr1OUuYaznJOYV+3OM31Gn09xfM2
Viyhu8Wih6tsLwdhUFcJqzrVj+tZ0SMeF5UY2UnTuPO1CfktYXKXMKOzBt876uxzGR88ZbTIuoU1
HmSoVTip6WKMr2F8KsI/r8NIT4rHXdOZt/7Q3caJMm8H+zIWznt0kskUVOI7DVs+SJeEsjASA3y/
gxcD8LDsZ2AK0XQz6OVm+ITzvY5bQJgwxwuasBTY5qqk74XzeiJLZ2hgZ4vQHrMFCMldTu9jLBrD
RZ515OuiGEyv0pqNFUG4WmJDbfU56MpGWXmq7+CjSprVd0k271tWIP/+RU0oZo9G4s3QrcOCIZGu
qcrs65QloZtpSORh3RVVeV4nyFGoir4vCvnCQmenjsiV0LXXFxma1EtTiZZIsFSnngLNHV+wecqM
n6BPSDkkYzW1TfZJT5N8SbYMiii0kRfqCNiS0V97gFLWuTLuSjNEQJGjkfh6WUKsdYNAP5ua4KIG
FUSSBMJ/DLWbPkqxwtWhadTyKqr0W8Tbl7Bzb5DSVt18AmUp59bO94ttYQZblQ8370Oq/obc3iGJ
orh0mISWILWmymBR4176qTOnT1VDHaHW/bWfSIBklXaRcsDBZmxvChvpoyrm+9UkQL3U39weQoCQ
qXskaOeoKNw8cC446FY0odOZqte3o9d/jNXmviptDdn49l53AMMqaq9QAVApqNdRNw/twMCiBpBJ
7kPYSxRtU9XRTWZqq6lo87kXK5/6GEyEAwbXSDB4sh3kCrXCRLlG/diZV329nbyHnmpgoF1RVZpR
xvtI2HwXQpGnX9esUKo5VzHZdItEqXF0MfcKB/1CGZxLElW2NuXXtYQ4IPjgKVwkVkjbT8cDyOlP
6yK57hx1bQ0Jx2+IQtqoCIfAkyAfJxBl7b3VUPOQy2ZbNuedCTbKQNbIt6BfA8CZ46Ic4hpUoX1e
hffKOK2SpIpOKR0paBFUZ85oSUuIyfESZaFoNlEiBRJLXm146aIv/K1B5dStTdQ4URPxKaigLqWu
gavtbeyzzvqsQWyP+N2w7qMcmFkFiRMubTmN5wrVBjeo+Z6BIZtr3wZ7DOQIulW99ZrJucCgCHTT
JAEurht9g+zKeVIFtr0DoTOupgGpo6DAl5zLI1o6pb9MDeVMLYwNp9HW9Fg6iBuDcKEOJlW69hGT
Gk6IrqSgWEtrwupzGnX+OgvkvTbKe2/0H7lygBQGw3qUSYZt+KaxzEfnGWtNyefxkDwNYUy5zQ8A
i0cqkF9k4DLffIDD2uHC20SLvgwWpVIjwaVOS2QDhO2JeeIz2cUjsCxF966BQ6wlqVfPMWG/0Arg
KSG27i44lzumn1tcSfbFEG071cdhqByucLhYRTawZ0OzsmU2yIDmK+wvQ5wVUKLsH7JmABaT3Biw
is3EuEN963IsI6pBU7zpdXNZhQkIECWlJjYsMYhAZkl/4nC9xDUlc5OAJRCa5TU8tiUHHFp2uoC7
KDWAN7T/rUlZZ2ajwolOLyyHxlvsBRiJOPG4qAY6sZz7CbYlE3qRJkJJA0qWhanX4JbV3VRTbUz6
fmWR4MBXMM8Jch+qqjgdrMQif5YWSoiiY29/4mqhUKVeV2V3ws5dW6opw9EL7ooJ1H0UJme9wlUb
K6eh15x4SX5vFMpD76H8gCLCfa0OZ/lAatuHDuVxCaEsx/A/pqOcobeUbKZwW+nVGYWmZdGr1HJC
+yowCu5oybxri+5sGpC+zMLHRDcgnlNvrbXxFCBrux6rkcRxMM9SxQbdl3IQSsFKNkKqfoaO9wpt
eHk6aStNc30cNxBMMu+jPk0vNY/iPVU7aSZhuzBHdXOada1TAKJTKc+n2egWtYUM/lStax2PTODf
j1ZPDGMP7aVV1NrKwR915Tt1fZqWFRmX1p8kEYQEAPurOEFZwyGnJub0GjaXgcGHfms20tZEFnFl
BvnGIdqiz19oCCROnWOG/yE+fUvHyIL+Ph37BALrQCrG37ymYoKQKyPAQ8MIaR9dZHffUzFahWgL
Au7GikeQj35MxRzV0AGTYPmmCDDIX6mYDSNKAxdO2gQa2/hnLUFovr+2BGHhmuR9QssQlu+v+O6m
6qMsUaPhomg8aVbYUEK86rZRUSCNVDS7JhRUb8NOSS7UJk1v6tar1pKstOt28hRsEYcZ9BdkWUtd
O9csXV40SQqe0Ir22gQWs0EA/CQou0en7YvbfIS+Qy15uHS4/l2o9pbrtF5+q9fdWSW3IAYzMKlh
AJ7Oxwmr77EPBTgCowVXyoXfIdFZK8pdii7AOsHLBIFatGyRjtNG+9Yv22o56MimmF2BPQJO5a5u
Op8l2aTSi54cWlghdsN9jsPzmC25YVqXgIemAlNwESq2tySIc7Bcy40Lv1dxcnshSAiqBIpZFEey
qaGsZ9Gyg3WjFxHQrTY9beFaxHAuekG+aGBhOIKOYcDLkFsdvT9fXuAGv41hbnQwOJjNs1xQOmRB
7iC/Q2M5Dj4b8D4Gk2I/JLF7v4zvBaxtUQiSiAdbpBG0EU0QSLRMsVzT99exIJdIJmQWQTcZMnNr
VhzVDUV4Tj04KY1gpwRej3wRhBW+6Mh1zOIml7xzHUqLTYyKmV/BJ9GePUgvAJq7U2Cw8JAbYaHX
2+dA82Bhe9O5kfOVNgVGKNBoYug0qlbdT9BrJK8gkQhQm4V4YwoGjiW4OIpg5XDDbQwVrHrSgpdA
pPuCJgNcqFRfm5B6csHuyQXPhwzmU+FPVzoEoEgwgSTBCeoEO4j1QRsP5W/7gks60h5l1TTGjYXJ
z8KCmAr0ZIKKBYx2jqhQPUNrcS/VtI1am36ONC5fADUeqvbAQ5JtF6GAaxkU3dRUOUXgM5olAkXr
yQroFsMOV6MRo9qiwPaSJi4ihDndzq7o0fjxU6kS+o8BcVYI6HeRR85SlmPAI1gOUt6tvY001iXn
f6xwutuWK7NSEXK8TrJsYGXrm8F2yHAQkbrNAg+4h66vlVxYXuNVOEOonV6vR81WlzNa8t5+pF0a
0vTdxIZxWzXeZzXLGteKNdeynHOykYTL3cCkqoduZSXmRrIr/YKYL58hkNi4hRIihVTpN10smHWN
cYqvUeE6MKNdWTK2VdKGW2XMT0o9UTZlTiwOwxjY/EOteBdS7y97eM1LHXuupqzC2KVwsKpH+vb0
9ud2mTwGiYGJWsFWZ5sUhYV/dYovWVBvB6svNrFk2fMkVJSLoC+0uddKwTXxPSgaHehWa3vnXUnJ
OHLgySHSPMOjnHXeoWLlQaMYFboXI1zxbYmL+axVVW9NLMtdWef6avQ9Zy5LZb0pyuwEcJa1GP1W
28I3mFAHUqSVjsDdIi+LK1NyquUUj1tJ9h9oFmqXakTIwekH2yCkmx3ExVbSyNMH31uYUfGptCL/
S52lcydgG19ZUbSfookIKHM0mGUv18Z/iMMI4/7p/mwfdwfuT/7mh/uT6xMiE+AXfHUECer7/alQ
lTTR8gWq+YughcNvuGzBzqi8xKJe+b2UaWPZyqWKOSsZMT4F/whSgwTfb/cn8DRAkjrbzTAVQVD+
EVKTNFUjD/kgXzRQeKGmIEEPA/dElVoiT6yZrnCzzNdoHMAexG97mSPB4Da1vq1yA3qIYAuz+ozT
SjCI2RFCDtVcdZCLE3sozipcDotO1imCPSkdmrFq2q81sxXOl/3G8ewlOY08L5BUa2uP68gZU9fq
9bs+q9Z6GGS3pe9j+VUUT2Zvn+RtcVcpuqCvQr4w/fIpGZ0YF0I6eWXfr4diGOjV5kF2JWvgYSJd
v5Q0GKCQWRZNL3tu2ksefPuqRR6OBMNrdlbrP3mpjUbTCCffH4tyA6sDC7tcum6Ql7100DqYpWYA
1lFDr9wbLWvuhZQ7MNlCG9fDhYCey6JytOc6NAnHy3O7QYq/COKHUNVum9wp5lKk7ovYGBbe5N9V
SHmE7PoWdsqMYGDtlc4z53AGIi5Yxw70Kzk6q9GsSjP/JJqcWwUNCoTIBFxIlW8Li8Rt4ktosE93
Uf7G1K4xdmNbD25t1Q82JgNkuaECMBwqiy5f2omuzAMvvAodephS2qO7MI7oRY2g7WRQdzLoO+7T
k07A8bSovm6F+/tAk2Q2VTTMsB6aRSbFV6tI5hZwBiz+pBZylqNagGuapI4RuECFNsxq+8JRi3GF
j6s6I7PdYF3onPl1tVdLiN8I2ftXkgA/TKHx5MAhOC9H9UuSG/A4KzOX50GkOuckdIiNZ8LONkYd
rjEo6WVJVmz9OL+ALw2MJbEveiBULjrvcDpGwCuxTnaPDVtbqedFXmQU2CdKbqFO1a7NM3hz0ioa
aATSk/1sFsFHLBpbVGscF/ljqvcqQmC1z+Qm1PFBdUwfLcCnipc/piQqraJBic+kK8UuvlB+X7TB
sGrLwXaz2Kxcuam0jZmUm8JMt0NjLHRfuxiV+ELX2sF1EtqEch7dy713Z6TozTaxgz2NZN1VjW/w
2OqpV6jEHDal5rJM0f2V5et0bLYyl1cZR9dh6C/MNvnUy9Wj4VQ56nywFEd6xnYVt/NK0K1yOaMV
z+QaurRFqF5fmTJYt9YZY3qh1imSI0+2OmnzuhnvC01tZ51SLItaFOgbxP/HodvEuBlAqZDP+6R/
DAQ33RQs9czEiS+HuK4hH+AQCZsQ2iPBbLehuDcyKneVwNsI9vsgePBx1J4MoKzcUXDks9F4biDN
9yV45hQafenRgw0Fs56K5ioK6s82lHuC6jsFCr4i1dhcwsmfIOc7kPQrwdbngef+1PVzByK/LRj9
7SRf1472eRRcf18PEjcU/H8Kp9KGeg0dYIAOHSIBeivtA0QDbKEeUKQgNma60BTwhLrAJHQGUnLY
yqP1EQkNghQxgkgm8beRcXCph0wzKUezAINnSu42OgbUNi4iCFw8HhoHHsR8BASGK7wjZJz+5CdI
pN/8jf4f3LPfHlF49SxerHqu2n01Xu9rsDn1K6pT/PYyB9B0m//fXvTngb4xkW/HApOg3TMCRmi/
N1X41Px4CRuGw335U9L78kwvD/ynIZIdkJP2mbE1FKUMnXNDQWxf/NDhw4fD//ZrSaFDSX8SQz7y
4pefH8OlP83Cnz/g1+n882v+/hOQgP9K1daAyP7jmWCcH6ZC/6DgqELMQfAgfqgA/DwVzBW+Q471
ddJ/WCd/txL+/Pnefg5+DeH+ndXw8xxYHygzEMEhVPz6df80B6oohaAcbmvvdRIUSjBHLwTZUFUN
v7uvc0Ao+9MkKPYHlUoMhlxAvvlhz/CO73A98N0eORX2B8Oi4oRSzNepYHJ/mgqqZroj/gPd4z1P
hfxrdfCfbw37AwRIYcSGPq/4+XVVsDUIi2wwSPzmXa4HUZ08ej0IvUrs476u/N/OSCbBQjRKJ2F7
p5MgEsOjJ4EtQQ5pCK/SAyuBO9PixzCs9zoJglBy5CToyJdwXcp/tx2YBOiQimzK73Y7fD23v2rO
fg9l/pfg6dfrUlwDsD6/XZe/nQnKB65SRQd68V63A1HOkSvBFhg2FdTZtzNBTNGPIaQKko37QyV7
eKeToB4fOBESvNgWq3SjxM+vwSMHIyqvuiAsv8tJEEfZ0SvB+mAjgETvSns5F53fogUmATijZb7P
OTBk7fgw4eUCBEonCqA/bQPF+oBOtU1+8S2sfJfrADWK46MEjn4Q3FwOdFQPbgaFWIqyry6MxDl9
3l/o/O3SOuZuMJG9VIDUkkJ//fl1PRAl4NSCCvR7vRv040MlXaSLaH5SX/i7SYCHoemwZ15//y7X
g3H0VKD3hjYbUu+Asl8/6k/ng7ghmAgdsPXLpnmvWaX+NZ47ZmuAUtdlixD6W6Xlt4iB80EWKTag
ifd5PghT+qPDJmyfMImH5v23h6SlE0Gr39fLu9wa3ypBx60H8kX6cq8346G4QSWMhnj4TteD8jWi
OWYSEPCXVUMFYPT9+/7pfKDqxMlholTwXjeF8RaTQPVVHIB/X45WkQLizvyat/xbkcO/8aLvhX03
wJ/kpaSPSN+hyv/fveC11vv773+oVb9U7H96pSjxf33zrxVt8f//66eKv/oSHv3w29dw6eWdvv39
t4/4+5v/9Gavn+v1H9cIMO2qJxp4L42Obw96vkvpDPx3wn89736ttH/NE/56ml/aEz+ugD+PjubE
/tfBRbj4+m8Heh//9uDp7jmvXgf6S85VFGqPfnIstJpDD87DHT22u0t2HV9J/TrWD8/Oej9+fDhp
9W9fKbNOOegNBs+aCusTPH0PvQVB7tFvMd8n/zrHKu7Q/JNJHD3+IvnXPK9YPK9j/TD/3ElHj7+s
9nV2aHBO9KMHXyX7LHsd54cHJ1I5eux1mz7myXPzOtRfwytvsWE3abGvwl1yYPi32LIbJAoODP0W
O/ZkXx2Yc+UtNutJmPkHDgLlLfbq6S4+sIdEInr0Ujnd1fX+0Jy8xQY9zet//Xfm75P9oZl5iy16
tnvmAH6dhx/W+Vts0bMdylQHxn6LLSrGhnp04NHVt9iiZ/vsOX8KD51e6lvs0bN99bR//n1uBNj+
6DV5lvPsr+P89Z2qb7FNz/KDc/IWu5ShcWvZjwee/C126vmuOLRa3mKfnu+73e+x49fa4tHf5kW1
4wg4MClvsUUvk93T/kDsKBL+o5/8ErbUoeBOqIYePfh1SOhYh88HZkZ7ix16s3uqSAmy5sBdqr3F
Lr3ZZf+a7VHuO/QGb7FVv75Ble2q54MHmcAQHf01iDeZh3v/0Id4i10rxl+yA57C+unQe7zF9hXv
sc13ZXvottLe4poV7/C/O66/ZKVHJILiXc52zf7QPL3FfmZ8zB5nu+pxdyhmEPXzt1hPwlAyOfwO
b7Oxxaf4g2Xl0V/Dn+xVjh78TyLSxw9ex6hItq/f41+xg2joH//d5snuUPQgGuVvMDjWhQcueIEC
On7wZgdJKtm1B+Jw0SA4/g1EmeXAPSz87Y4e/HYf7A5NjejyHD/4H9Vnj12Rty0nwYErXtRej3/0
P4sWHfvsH3nA9tBBKeBIRz/8Hyi+xz74p79nP/156ENl2e/t7t+Lta+I4EN/9nMtWrziKdnvqv/6
HwAAAP//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image" Target="../media/image1.emf"/><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11430</xdr:rowOff>
    </xdr:from>
    <xdr:to>
      <xdr:col>10</xdr:col>
      <xdr:colOff>22860</xdr:colOff>
      <xdr:row>17</xdr:row>
      <xdr:rowOff>137160</xdr:rowOff>
    </xdr:to>
    <xdr:graphicFrame macro="">
      <xdr:nvGraphicFramePr>
        <xdr:cNvPr id="2" name="Chart 1">
          <a:extLst>
            <a:ext uri="{FF2B5EF4-FFF2-40B4-BE49-F238E27FC236}">
              <a16:creationId xmlns:a16="http://schemas.microsoft.com/office/drawing/2014/main" id="{6BFCA606-7917-23B4-C737-D4C49D187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79513</xdr:colOff>
      <xdr:row>34</xdr:row>
      <xdr:rowOff>66260</xdr:rowOff>
    </xdr:from>
    <xdr:to>
      <xdr:col>5</xdr:col>
      <xdr:colOff>39757</xdr:colOff>
      <xdr:row>42</xdr:row>
      <xdr:rowOff>76199</xdr:rowOff>
    </xdr:to>
    <xdr:graphicFrame macro="">
      <xdr:nvGraphicFramePr>
        <xdr:cNvPr id="4" name="Chart 3">
          <a:extLst>
            <a:ext uri="{FF2B5EF4-FFF2-40B4-BE49-F238E27FC236}">
              <a16:creationId xmlns:a16="http://schemas.microsoft.com/office/drawing/2014/main" id="{A0A7D2F9-77BA-3FD5-4BA8-A3FE57038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122581</xdr:colOff>
      <xdr:row>46</xdr:row>
      <xdr:rowOff>82826</xdr:rowOff>
    </xdr:from>
    <xdr:to>
      <xdr:col>13</xdr:col>
      <xdr:colOff>85457</xdr:colOff>
      <xdr:row>61</xdr:row>
      <xdr:rowOff>43069</xdr:rowOff>
    </xdr:to>
    <xdr:graphicFrame macro="">
      <xdr:nvGraphicFramePr>
        <xdr:cNvPr id="6" name="Chart 5">
          <a:extLst>
            <a:ext uri="{FF2B5EF4-FFF2-40B4-BE49-F238E27FC236}">
              <a16:creationId xmlns:a16="http://schemas.microsoft.com/office/drawing/2014/main" id="{A47252A9-D3B1-63BF-6A4F-29CEA8E32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397565</xdr:colOff>
      <xdr:row>86</xdr:row>
      <xdr:rowOff>3313</xdr:rowOff>
    </xdr:from>
    <xdr:to>
      <xdr:col>10</xdr:col>
      <xdr:colOff>11043</xdr:colOff>
      <xdr:row>100</xdr:row>
      <xdr:rowOff>118165</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82968112-6E3C-2682-DC7C-7E002A6018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141304" y="16148878"/>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86908</xdr:colOff>
      <xdr:row>54</xdr:row>
      <xdr:rowOff>142429</xdr:rowOff>
    </xdr:from>
    <xdr:to>
      <xdr:col>10</xdr:col>
      <xdr:colOff>461459</xdr:colOff>
      <xdr:row>60</xdr:row>
      <xdr:rowOff>109980</xdr:rowOff>
    </xdr:to>
    <xdr:graphicFrame macro="">
      <xdr:nvGraphicFramePr>
        <xdr:cNvPr id="7" name="Chart 6">
          <a:extLst>
            <a:ext uri="{FF2B5EF4-FFF2-40B4-BE49-F238E27FC236}">
              <a16:creationId xmlns:a16="http://schemas.microsoft.com/office/drawing/2014/main" id="{FAC719DD-C733-5395-44B6-31930862A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142875</xdr:colOff>
      <xdr:row>143</xdr:row>
      <xdr:rowOff>45243</xdr:rowOff>
    </xdr:from>
    <xdr:to>
      <xdr:col>8</xdr:col>
      <xdr:colOff>269875</xdr:colOff>
      <xdr:row>158</xdr:row>
      <xdr:rowOff>50006</xdr:rowOff>
    </xdr:to>
    <xdr:graphicFrame macro="">
      <xdr:nvGraphicFramePr>
        <xdr:cNvPr id="14" name="Chart 13">
          <a:extLst>
            <a:ext uri="{FF2B5EF4-FFF2-40B4-BE49-F238E27FC236}">
              <a16:creationId xmlns:a16="http://schemas.microsoft.com/office/drawing/2014/main" id="{65D89487-F795-5297-844F-54D13615F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301626</xdr:colOff>
      <xdr:row>159</xdr:row>
      <xdr:rowOff>29368</xdr:rowOff>
    </xdr:from>
    <xdr:to>
      <xdr:col>10</xdr:col>
      <xdr:colOff>174626</xdr:colOff>
      <xdr:row>174</xdr:row>
      <xdr:rowOff>34131</xdr:rowOff>
    </xdr:to>
    <xdr:graphicFrame macro="">
      <xdr:nvGraphicFramePr>
        <xdr:cNvPr id="15" name="Chart 14">
          <a:extLst>
            <a:ext uri="{FF2B5EF4-FFF2-40B4-BE49-F238E27FC236}">
              <a16:creationId xmlns:a16="http://schemas.microsoft.com/office/drawing/2014/main" id="{7BA019F5-81BB-93B8-1C99-ADCEB272B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236220</xdr:colOff>
      <xdr:row>31</xdr:row>
      <xdr:rowOff>60960</xdr:rowOff>
    </xdr:to>
    <xdr:sp macro="" textlink="">
      <xdr:nvSpPr>
        <xdr:cNvPr id="7" name="Rectangle 6">
          <a:extLst>
            <a:ext uri="{FF2B5EF4-FFF2-40B4-BE49-F238E27FC236}">
              <a16:creationId xmlns:a16="http://schemas.microsoft.com/office/drawing/2014/main" id="{7BAD98EE-B4F4-B6B1-817A-B4AA93C2FF24}"/>
            </a:ext>
          </a:extLst>
        </xdr:cNvPr>
        <xdr:cNvSpPr/>
      </xdr:nvSpPr>
      <xdr:spPr>
        <a:xfrm>
          <a:off x="0" y="0"/>
          <a:ext cx="1310640" cy="5730240"/>
        </a:xfrm>
        <a:prstGeom prst="rect">
          <a:avLst/>
        </a:prstGeom>
        <a:solidFill>
          <a:schemeClr val="accent1">
            <a:lumMod val="40000"/>
            <a:lumOff val="60000"/>
          </a:schemeClr>
        </a:solidFill>
        <a:ln>
          <a:gradFill>
            <a:gsLst>
              <a:gs pos="0">
                <a:schemeClr val="accent1">
                  <a:lumMod val="5000"/>
                  <a:lumOff val="95000"/>
                </a:schemeClr>
              </a:gs>
              <a:gs pos="0">
                <a:schemeClr val="accent1">
                  <a:lumMod val="45000"/>
                  <a:lumOff val="55000"/>
                </a:schemeClr>
              </a:gs>
              <a:gs pos="17000">
                <a:schemeClr val="accent1">
                  <a:lumMod val="45000"/>
                  <a:lumOff val="55000"/>
                </a:schemeClr>
              </a:gs>
              <a:gs pos="76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3</xdr:col>
      <xdr:colOff>266700</xdr:colOff>
      <xdr:row>0</xdr:row>
      <xdr:rowOff>30480</xdr:rowOff>
    </xdr:from>
    <xdr:to>
      <xdr:col>28</xdr:col>
      <xdr:colOff>457200</xdr:colOff>
      <xdr:row>31</xdr:row>
      <xdr:rowOff>99060</xdr:rowOff>
    </xdr:to>
    <xdr:sp macro="" textlink="">
      <xdr:nvSpPr>
        <xdr:cNvPr id="8" name="Rectangle 7">
          <a:extLst>
            <a:ext uri="{FF2B5EF4-FFF2-40B4-BE49-F238E27FC236}">
              <a16:creationId xmlns:a16="http://schemas.microsoft.com/office/drawing/2014/main" id="{AD11FC72-908D-449B-FF53-D240F4478F2B}"/>
            </a:ext>
          </a:extLst>
        </xdr:cNvPr>
        <xdr:cNvSpPr/>
      </xdr:nvSpPr>
      <xdr:spPr>
        <a:xfrm>
          <a:off x="1341120" y="30480"/>
          <a:ext cx="13525500" cy="5737860"/>
        </a:xfrm>
        <a:prstGeom prst="rect">
          <a:avLst/>
        </a:prstGeom>
        <a:gradFill>
          <a:gsLst>
            <a:gs pos="0">
              <a:schemeClr val="tx2">
                <a:lumMod val="50000"/>
                <a:lumOff val="50000"/>
              </a:schemeClr>
            </a:gs>
            <a:gs pos="0">
              <a:srgbClr val="DAABAB"/>
            </a:gs>
            <a:gs pos="0">
              <a:schemeClr val="bg1">
                <a:lumMod val="85000"/>
              </a:schemeClr>
            </a:gs>
            <a:gs pos="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gradFill>
              <a:gsLst>
                <a:gs pos="2000">
                  <a:schemeClr val="tx2">
                    <a:lumMod val="50000"/>
                    <a:lumOff val="50000"/>
                  </a:schemeClr>
                </a:gs>
                <a:gs pos="45120">
                  <a:srgbClr val="DAABAB"/>
                </a:gs>
                <a:gs pos="100000">
                  <a:schemeClr val="bg1">
                    <a:lumMod val="85000"/>
                  </a:schemeClr>
                </a:gs>
                <a:gs pos="0">
                  <a:schemeClr val="accent1">
                    <a:lumMod val="30000"/>
                    <a:lumOff val="70000"/>
                  </a:schemeClr>
                </a:gs>
              </a:gsLst>
              <a:lin ang="5400000" scaled="1"/>
            </a:gradFill>
            <a:effectLst>
              <a:outerShdw blurRad="50800" dist="50800" dir="4200000" algn="ctr" rotWithShape="0">
                <a:srgbClr val="000000">
                  <a:alpha val="86000"/>
                </a:srgbClr>
              </a:outerShdw>
            </a:effectLst>
          </a:endParaRPr>
        </a:p>
      </xdr:txBody>
    </xdr:sp>
    <xdr:clientData/>
  </xdr:twoCellAnchor>
  <xdr:twoCellAnchor>
    <xdr:from>
      <xdr:col>1</xdr:col>
      <xdr:colOff>110490</xdr:colOff>
      <xdr:row>3</xdr:row>
      <xdr:rowOff>103823</xdr:rowOff>
    </xdr:from>
    <xdr:to>
      <xdr:col>1</xdr:col>
      <xdr:colOff>704850</xdr:colOff>
      <xdr:row>5</xdr:row>
      <xdr:rowOff>88583</xdr:rowOff>
    </xdr:to>
    <xdr:sp macro="" textlink="">
      <xdr:nvSpPr>
        <xdr:cNvPr id="14" name="TextBox 13">
          <a:extLst>
            <a:ext uri="{FF2B5EF4-FFF2-40B4-BE49-F238E27FC236}">
              <a16:creationId xmlns:a16="http://schemas.microsoft.com/office/drawing/2014/main" id="{4F8278F5-6952-B4DE-B390-6513C9D93D11}"/>
            </a:ext>
          </a:extLst>
        </xdr:cNvPr>
        <xdr:cNvSpPr txBox="1"/>
      </xdr:nvSpPr>
      <xdr:spPr>
        <a:xfrm>
          <a:off x="224790" y="652463"/>
          <a:ext cx="594360" cy="3505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effectLst/>
              <a:latin typeface="+mj-lt"/>
              <a:ea typeface="+mn-ea"/>
              <a:cs typeface="+mn-cs"/>
            </a:rPr>
            <a:t>2,400</a:t>
          </a:r>
          <a:r>
            <a:rPr lang="en-IN" sz="1200" b="1">
              <a:effectLst/>
              <a:latin typeface="+mj-lt"/>
            </a:rPr>
            <a:t> </a:t>
          </a:r>
          <a:endParaRPr lang="en-IN" sz="1200" b="1">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10</xdr:col>
          <xdr:colOff>487680</xdr:colOff>
          <xdr:row>1</xdr:row>
          <xdr:rowOff>45720</xdr:rowOff>
        </xdr:from>
        <xdr:to>
          <xdr:col>16</xdr:col>
          <xdr:colOff>198120</xdr:colOff>
          <xdr:row>8</xdr:row>
          <xdr:rowOff>30480</xdr:rowOff>
        </xdr:to>
        <xdr:pic>
          <xdr:nvPicPr>
            <xdr:cNvPr id="16" name="Picture 15">
              <a:extLst>
                <a:ext uri="{FF2B5EF4-FFF2-40B4-BE49-F238E27FC236}">
                  <a16:creationId xmlns:a16="http://schemas.microsoft.com/office/drawing/2014/main" id="{CA44A65B-3C3B-4833-9220-7936DB455457}"/>
                </a:ext>
              </a:extLst>
            </xdr:cNvPr>
            <xdr:cNvPicPr>
              <a:picLocks noChangeAspect="1" noChangeArrowheads="1"/>
              <a:extLst>
                <a:ext uri="{84589F7E-364E-4C9E-8A38-B11213B215E9}">
                  <a14:cameraTool cellRange="'Pivote calculations'!$H$26:$L$31" spid="_x0000_s1036"/>
                </a:ext>
              </a:extLst>
            </xdr:cNvPicPr>
          </xdr:nvPicPr>
          <xdr:blipFill>
            <a:blip xmlns:r="http://schemas.openxmlformats.org/officeDocument/2006/relationships" r:embed="rId1"/>
            <a:srcRect/>
            <a:stretch>
              <a:fillRect/>
            </a:stretch>
          </xdr:blipFill>
          <xdr:spPr bwMode="auto">
            <a:xfrm>
              <a:off x="5295900" y="228600"/>
              <a:ext cx="2910840" cy="12649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57150</xdr:colOff>
      <xdr:row>6</xdr:row>
      <xdr:rowOff>14289</xdr:rowOff>
    </xdr:from>
    <xdr:to>
      <xdr:col>1</xdr:col>
      <xdr:colOff>872490</xdr:colOff>
      <xdr:row>7</xdr:row>
      <xdr:rowOff>181929</xdr:rowOff>
    </xdr:to>
    <xdr:sp macro="" textlink="">
      <xdr:nvSpPr>
        <xdr:cNvPr id="18" name="TextBox 17">
          <a:extLst>
            <a:ext uri="{FF2B5EF4-FFF2-40B4-BE49-F238E27FC236}">
              <a16:creationId xmlns:a16="http://schemas.microsoft.com/office/drawing/2014/main" id="{513F1EFE-918B-484A-8D26-D85172EE18F0}"/>
            </a:ext>
          </a:extLst>
        </xdr:cNvPr>
        <xdr:cNvSpPr txBox="1"/>
      </xdr:nvSpPr>
      <xdr:spPr>
        <a:xfrm>
          <a:off x="57150" y="1111569"/>
          <a:ext cx="929640" cy="3505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effectLst/>
              <a:latin typeface="+mj-lt"/>
              <a:ea typeface="+mn-ea"/>
              <a:cs typeface="+mn-cs"/>
            </a:rPr>
            <a:t>11,997</a:t>
          </a:r>
          <a:r>
            <a:rPr lang="en-IN" sz="2000">
              <a:effectLst/>
            </a:rPr>
            <a:t> </a:t>
          </a:r>
          <a:r>
            <a:rPr lang="en-IN" sz="2000" b="1">
              <a:effectLst/>
              <a:latin typeface="+mj-lt"/>
            </a:rPr>
            <a:t> </a:t>
          </a:r>
          <a:endParaRPr lang="en-IN" sz="2000" b="1">
            <a:latin typeface="+mj-lt"/>
          </a:endParaRPr>
        </a:p>
      </xdr:txBody>
    </xdr:sp>
    <xdr:clientData/>
  </xdr:twoCellAnchor>
  <xdr:twoCellAnchor>
    <xdr:from>
      <xdr:col>1</xdr:col>
      <xdr:colOff>26670</xdr:colOff>
      <xdr:row>8</xdr:row>
      <xdr:rowOff>107635</xdr:rowOff>
    </xdr:from>
    <xdr:to>
      <xdr:col>1</xdr:col>
      <xdr:colOff>788670</xdr:colOff>
      <xdr:row>10</xdr:row>
      <xdr:rowOff>92395</xdr:rowOff>
    </xdr:to>
    <xdr:sp macro="" textlink="">
      <xdr:nvSpPr>
        <xdr:cNvPr id="19" name="TextBox 18">
          <a:extLst>
            <a:ext uri="{FF2B5EF4-FFF2-40B4-BE49-F238E27FC236}">
              <a16:creationId xmlns:a16="http://schemas.microsoft.com/office/drawing/2014/main" id="{A4D72BAC-272F-4816-9845-FFC66A21BC61}"/>
            </a:ext>
          </a:extLst>
        </xdr:cNvPr>
        <xdr:cNvSpPr txBox="1"/>
      </xdr:nvSpPr>
      <xdr:spPr>
        <a:xfrm>
          <a:off x="140970" y="1570675"/>
          <a:ext cx="762000" cy="3505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effectLst/>
              <a:latin typeface="+mj-lt"/>
              <a:ea typeface="+mn-ea"/>
              <a:cs typeface="+mn-cs"/>
            </a:rPr>
            <a:t>$649.0k</a:t>
          </a:r>
          <a:r>
            <a:rPr lang="en-IN" sz="2000">
              <a:effectLst/>
            </a:rPr>
            <a:t> </a:t>
          </a:r>
          <a:r>
            <a:rPr lang="en-IN" sz="2000" b="1">
              <a:effectLst/>
              <a:latin typeface="+mj-lt"/>
            </a:rPr>
            <a:t> </a:t>
          </a:r>
          <a:endParaRPr lang="en-IN" sz="2000" b="1">
            <a:latin typeface="+mj-lt"/>
          </a:endParaRPr>
        </a:p>
      </xdr:txBody>
    </xdr:sp>
    <xdr:clientData/>
  </xdr:twoCellAnchor>
  <xdr:twoCellAnchor>
    <xdr:from>
      <xdr:col>1</xdr:col>
      <xdr:colOff>140970</xdr:colOff>
      <xdr:row>11</xdr:row>
      <xdr:rowOff>18099</xdr:rowOff>
    </xdr:from>
    <xdr:to>
      <xdr:col>1</xdr:col>
      <xdr:colOff>674370</xdr:colOff>
      <xdr:row>13</xdr:row>
      <xdr:rowOff>2859</xdr:rowOff>
    </xdr:to>
    <xdr:sp macro="" textlink="">
      <xdr:nvSpPr>
        <xdr:cNvPr id="20" name="TextBox 19">
          <a:extLst>
            <a:ext uri="{FF2B5EF4-FFF2-40B4-BE49-F238E27FC236}">
              <a16:creationId xmlns:a16="http://schemas.microsoft.com/office/drawing/2014/main" id="{63A3CFCE-EF89-41DF-AEC4-DE2AED789A3B}"/>
            </a:ext>
          </a:extLst>
        </xdr:cNvPr>
        <xdr:cNvSpPr txBox="1"/>
      </xdr:nvSpPr>
      <xdr:spPr>
        <a:xfrm>
          <a:off x="255270" y="2029779"/>
          <a:ext cx="533400" cy="3505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effectLst/>
              <a:latin typeface="+mj-lt"/>
              <a:ea typeface="+mn-ea"/>
              <a:cs typeface="+mn-cs"/>
            </a:rPr>
            <a:t>2.3</a:t>
          </a:r>
          <a:r>
            <a:rPr lang="en-IN" sz="2000">
              <a:effectLst/>
            </a:rPr>
            <a:t> </a:t>
          </a:r>
          <a:r>
            <a:rPr lang="en-IN" sz="2000" b="1">
              <a:effectLst/>
              <a:latin typeface="+mj-lt"/>
            </a:rPr>
            <a:t> </a:t>
          </a:r>
          <a:endParaRPr lang="en-IN" sz="2000" b="1">
            <a:latin typeface="+mj-lt"/>
          </a:endParaRPr>
        </a:p>
      </xdr:txBody>
    </xdr:sp>
    <xdr:clientData/>
  </xdr:twoCellAnchor>
  <xdr:twoCellAnchor>
    <xdr:from>
      <xdr:col>1</xdr:col>
      <xdr:colOff>129540</xdr:colOff>
      <xdr:row>14</xdr:row>
      <xdr:rowOff>0</xdr:rowOff>
    </xdr:from>
    <xdr:to>
      <xdr:col>1</xdr:col>
      <xdr:colOff>632460</xdr:colOff>
      <xdr:row>15</xdr:row>
      <xdr:rowOff>167640</xdr:rowOff>
    </xdr:to>
    <xdr:sp macro="" textlink="">
      <xdr:nvSpPr>
        <xdr:cNvPr id="21" name="TextBox 20">
          <a:extLst>
            <a:ext uri="{FF2B5EF4-FFF2-40B4-BE49-F238E27FC236}">
              <a16:creationId xmlns:a16="http://schemas.microsoft.com/office/drawing/2014/main" id="{4320E20A-6EF3-4382-9B54-344F6C6A3CE2}"/>
            </a:ext>
          </a:extLst>
        </xdr:cNvPr>
        <xdr:cNvSpPr txBox="1"/>
      </xdr:nvSpPr>
      <xdr:spPr>
        <a:xfrm>
          <a:off x="243840" y="2560320"/>
          <a:ext cx="502920" cy="3505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effectLst/>
              <a:latin typeface="+mj-lt"/>
              <a:ea typeface="+mn-ea"/>
              <a:cs typeface="+mn-cs"/>
            </a:rPr>
            <a:t>4.0</a:t>
          </a:r>
          <a:r>
            <a:rPr lang="en-IN" sz="2000">
              <a:effectLst/>
            </a:rPr>
            <a:t> </a:t>
          </a:r>
          <a:r>
            <a:rPr lang="en-IN" sz="2000" b="1">
              <a:effectLst/>
              <a:latin typeface="+mj-lt"/>
            </a:rPr>
            <a:t> </a:t>
          </a:r>
          <a:endParaRPr lang="en-IN" sz="2000" b="1">
            <a:latin typeface="+mj-lt"/>
          </a:endParaRPr>
        </a:p>
      </xdr:txBody>
    </xdr:sp>
    <xdr:clientData/>
  </xdr:twoCellAnchor>
  <xdr:twoCellAnchor>
    <xdr:from>
      <xdr:col>0</xdr:col>
      <xdr:colOff>91440</xdr:colOff>
      <xdr:row>2</xdr:row>
      <xdr:rowOff>137160</xdr:rowOff>
    </xdr:from>
    <xdr:to>
      <xdr:col>1</xdr:col>
      <xdr:colOff>838200</xdr:colOff>
      <xdr:row>3</xdr:row>
      <xdr:rowOff>144780</xdr:rowOff>
    </xdr:to>
    <xdr:sp macro="" textlink="">
      <xdr:nvSpPr>
        <xdr:cNvPr id="23" name="TextBox 22">
          <a:extLst>
            <a:ext uri="{FF2B5EF4-FFF2-40B4-BE49-F238E27FC236}">
              <a16:creationId xmlns:a16="http://schemas.microsoft.com/office/drawing/2014/main" id="{EC463EEB-FEE9-A6C8-F36A-A23533AF884E}"/>
            </a:ext>
          </a:extLst>
        </xdr:cNvPr>
        <xdr:cNvSpPr txBox="1"/>
      </xdr:nvSpPr>
      <xdr:spPr>
        <a:xfrm>
          <a:off x="91440" y="502920"/>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Orders</a:t>
          </a:r>
        </a:p>
        <a:p>
          <a:endParaRPr lang="en-IN" sz="1800"/>
        </a:p>
      </xdr:txBody>
    </xdr:sp>
    <xdr:clientData/>
  </xdr:twoCellAnchor>
  <xdr:twoCellAnchor>
    <xdr:from>
      <xdr:col>0</xdr:col>
      <xdr:colOff>91440</xdr:colOff>
      <xdr:row>5</xdr:row>
      <xdr:rowOff>47626</xdr:rowOff>
    </xdr:from>
    <xdr:to>
      <xdr:col>1</xdr:col>
      <xdr:colOff>838200</xdr:colOff>
      <xdr:row>6</xdr:row>
      <xdr:rowOff>55246</xdr:rowOff>
    </xdr:to>
    <xdr:sp macro="" textlink="">
      <xdr:nvSpPr>
        <xdr:cNvPr id="24" name="TextBox 23">
          <a:extLst>
            <a:ext uri="{FF2B5EF4-FFF2-40B4-BE49-F238E27FC236}">
              <a16:creationId xmlns:a16="http://schemas.microsoft.com/office/drawing/2014/main" id="{92B4E6C1-D58E-4856-A16F-EF2CF1D3291D}"/>
            </a:ext>
          </a:extLst>
        </xdr:cNvPr>
        <xdr:cNvSpPr txBox="1"/>
      </xdr:nvSpPr>
      <xdr:spPr>
        <a:xfrm>
          <a:off x="91440" y="962026"/>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Quantity</a:t>
          </a:r>
          <a:r>
            <a:rPr lang="en-IN" sz="1800">
              <a:effectLst/>
            </a:rPr>
            <a:t> </a:t>
          </a:r>
          <a:r>
            <a:rPr lang="en-IN" sz="1100" b="0" i="0" u="none" strike="noStrike">
              <a:solidFill>
                <a:schemeClr val="dk1"/>
              </a:solidFill>
              <a:effectLst/>
              <a:latin typeface="+mn-lt"/>
              <a:ea typeface="+mn-ea"/>
              <a:cs typeface="+mn-cs"/>
            </a:rPr>
            <a:t>Quantity</a:t>
          </a:r>
          <a:r>
            <a:rPr lang="en-IN" sz="1800">
              <a:effectLst/>
            </a:rPr>
            <a:t> </a:t>
          </a:r>
          <a:endParaRPr lang="en-IN" sz="1800"/>
        </a:p>
        <a:p>
          <a:endParaRPr lang="en-IN" sz="1800"/>
        </a:p>
      </xdr:txBody>
    </xdr:sp>
    <xdr:clientData/>
  </xdr:twoCellAnchor>
  <xdr:twoCellAnchor>
    <xdr:from>
      <xdr:col>0</xdr:col>
      <xdr:colOff>91440</xdr:colOff>
      <xdr:row>7</xdr:row>
      <xdr:rowOff>140972</xdr:rowOff>
    </xdr:from>
    <xdr:to>
      <xdr:col>1</xdr:col>
      <xdr:colOff>838200</xdr:colOff>
      <xdr:row>8</xdr:row>
      <xdr:rowOff>148592</xdr:rowOff>
    </xdr:to>
    <xdr:sp macro="" textlink="">
      <xdr:nvSpPr>
        <xdr:cNvPr id="25" name="TextBox 24">
          <a:extLst>
            <a:ext uri="{FF2B5EF4-FFF2-40B4-BE49-F238E27FC236}">
              <a16:creationId xmlns:a16="http://schemas.microsoft.com/office/drawing/2014/main" id="{2274D639-B8B9-4762-8455-A76C8148C9C7}"/>
            </a:ext>
          </a:extLst>
        </xdr:cNvPr>
        <xdr:cNvSpPr txBox="1"/>
      </xdr:nvSpPr>
      <xdr:spPr>
        <a:xfrm>
          <a:off x="91440" y="1421132"/>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Amount</a:t>
          </a:r>
          <a:r>
            <a:rPr lang="en-IN" sz="1800">
              <a:effectLst/>
            </a:rPr>
            <a:t> </a:t>
          </a:r>
          <a:endParaRPr lang="en-IN" sz="1800"/>
        </a:p>
        <a:p>
          <a:endParaRPr lang="en-IN" sz="1800"/>
        </a:p>
      </xdr:txBody>
    </xdr:sp>
    <xdr:clientData/>
  </xdr:twoCellAnchor>
  <xdr:twoCellAnchor>
    <xdr:from>
      <xdr:col>0</xdr:col>
      <xdr:colOff>91440</xdr:colOff>
      <xdr:row>10</xdr:row>
      <xdr:rowOff>51437</xdr:rowOff>
    </xdr:from>
    <xdr:to>
      <xdr:col>1</xdr:col>
      <xdr:colOff>838200</xdr:colOff>
      <xdr:row>11</xdr:row>
      <xdr:rowOff>59057</xdr:rowOff>
    </xdr:to>
    <xdr:sp macro="" textlink="">
      <xdr:nvSpPr>
        <xdr:cNvPr id="26" name="TextBox 25">
          <a:extLst>
            <a:ext uri="{FF2B5EF4-FFF2-40B4-BE49-F238E27FC236}">
              <a16:creationId xmlns:a16="http://schemas.microsoft.com/office/drawing/2014/main" id="{D6884F50-ADB7-4A97-B9AE-C5DD063A0E8B}"/>
            </a:ext>
          </a:extLst>
        </xdr:cNvPr>
        <xdr:cNvSpPr txBox="1"/>
      </xdr:nvSpPr>
      <xdr:spPr>
        <a:xfrm>
          <a:off x="91440" y="1880237"/>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Avg. Rating</a:t>
          </a:r>
          <a:r>
            <a:rPr lang="en-IN" sz="1800">
              <a:effectLst/>
            </a:rPr>
            <a:t> </a:t>
          </a:r>
          <a:endParaRPr lang="en-IN" sz="1800"/>
        </a:p>
        <a:p>
          <a:endParaRPr lang="en-IN" sz="1800"/>
        </a:p>
      </xdr:txBody>
    </xdr:sp>
    <xdr:clientData/>
  </xdr:twoCellAnchor>
  <xdr:twoCellAnchor>
    <xdr:from>
      <xdr:col>0</xdr:col>
      <xdr:colOff>0</xdr:colOff>
      <xdr:row>12</xdr:row>
      <xdr:rowOff>144780</xdr:rowOff>
    </xdr:from>
    <xdr:to>
      <xdr:col>2</xdr:col>
      <xdr:colOff>53340</xdr:colOff>
      <xdr:row>14</xdr:row>
      <xdr:rowOff>99060</xdr:rowOff>
    </xdr:to>
    <xdr:sp macro="" textlink="">
      <xdr:nvSpPr>
        <xdr:cNvPr id="27" name="TextBox 26">
          <a:extLst>
            <a:ext uri="{FF2B5EF4-FFF2-40B4-BE49-F238E27FC236}">
              <a16:creationId xmlns:a16="http://schemas.microsoft.com/office/drawing/2014/main" id="{FB3C8374-C9F8-4E05-9F7A-0B7BE80DEA62}"/>
            </a:ext>
          </a:extLst>
        </xdr:cNvPr>
        <xdr:cNvSpPr txBox="1"/>
      </xdr:nvSpPr>
      <xdr:spPr>
        <a:xfrm>
          <a:off x="0" y="2339340"/>
          <a:ext cx="10439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Avg.</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Delivary</a:t>
          </a:r>
          <a:r>
            <a:rPr lang="en-IN" sz="1100">
              <a:effectLst/>
            </a:rPr>
            <a:t> </a:t>
          </a:r>
          <a:endParaRPr lang="en-IN" sz="1100" b="0"/>
        </a:p>
      </xdr:txBody>
    </xdr:sp>
    <xdr:clientData/>
  </xdr:twoCellAnchor>
  <xdr:twoCellAnchor>
    <xdr:from>
      <xdr:col>3</xdr:col>
      <xdr:colOff>259080</xdr:colOff>
      <xdr:row>0</xdr:row>
      <xdr:rowOff>38100</xdr:rowOff>
    </xdr:from>
    <xdr:to>
      <xdr:col>10</xdr:col>
      <xdr:colOff>403860</xdr:colOff>
      <xdr:row>9</xdr:row>
      <xdr:rowOff>91440</xdr:rowOff>
    </xdr:to>
    <xdr:graphicFrame macro="">
      <xdr:nvGraphicFramePr>
        <xdr:cNvPr id="28" name="Chart 27">
          <a:extLst>
            <a:ext uri="{FF2B5EF4-FFF2-40B4-BE49-F238E27FC236}">
              <a16:creationId xmlns:a16="http://schemas.microsoft.com/office/drawing/2014/main" id="{F39647D1-FB95-4E4D-8CB4-34D694A35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114300</xdr:colOff>
      <xdr:row>0</xdr:row>
      <xdr:rowOff>53340</xdr:rowOff>
    </xdr:from>
    <xdr:to>
      <xdr:col>25</xdr:col>
      <xdr:colOff>228600</xdr:colOff>
      <xdr:row>9</xdr:row>
      <xdr:rowOff>83820</xdr:rowOff>
    </xdr:to>
    <xdr:graphicFrame macro="">
      <xdr:nvGraphicFramePr>
        <xdr:cNvPr id="29" name="Chart 28">
          <a:extLst>
            <a:ext uri="{FF2B5EF4-FFF2-40B4-BE49-F238E27FC236}">
              <a16:creationId xmlns:a16="http://schemas.microsoft.com/office/drawing/2014/main" id="{F68A7525-AB51-4057-B54E-8193BE558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259080</xdr:colOff>
      <xdr:row>9</xdr:row>
      <xdr:rowOff>167641</xdr:rowOff>
    </xdr:from>
    <xdr:to>
      <xdr:col>11</xdr:col>
      <xdr:colOff>182880</xdr:colOff>
      <xdr:row>29</xdr:row>
      <xdr:rowOff>22861</xdr:rowOff>
    </xdr:to>
    <xdr:graphicFrame macro="">
      <xdr:nvGraphicFramePr>
        <xdr:cNvPr id="30" name="Chart 29">
          <a:extLst>
            <a:ext uri="{FF2B5EF4-FFF2-40B4-BE49-F238E27FC236}">
              <a16:creationId xmlns:a16="http://schemas.microsoft.com/office/drawing/2014/main" id="{39043873-7164-449E-A22C-AF829F8A6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xdr:colOff>
      <xdr:row>22</xdr:row>
      <xdr:rowOff>175260</xdr:rowOff>
    </xdr:from>
    <xdr:to>
      <xdr:col>9</xdr:col>
      <xdr:colOff>19586</xdr:colOff>
      <xdr:row>28</xdr:row>
      <xdr:rowOff>140906</xdr:rowOff>
    </xdr:to>
    <xdr:graphicFrame macro="">
      <xdr:nvGraphicFramePr>
        <xdr:cNvPr id="32" name="Chart 31">
          <a:extLst>
            <a:ext uri="{FF2B5EF4-FFF2-40B4-BE49-F238E27FC236}">
              <a16:creationId xmlns:a16="http://schemas.microsoft.com/office/drawing/2014/main" id="{06F859A4-CAC0-4710-80A9-11D1A7C15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243840</xdr:colOff>
      <xdr:row>9</xdr:row>
      <xdr:rowOff>175260</xdr:rowOff>
    </xdr:from>
    <xdr:to>
      <xdr:col>18</xdr:col>
      <xdr:colOff>22860</xdr:colOff>
      <xdr:row>29</xdr:row>
      <xdr:rowOff>7620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E05BABE7-A884-4558-9FF8-CB73AE3562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96940" y="1821180"/>
              <a:ext cx="3512820" cy="3489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114301</xdr:colOff>
      <xdr:row>10</xdr:row>
      <xdr:rowOff>7620</xdr:rowOff>
    </xdr:from>
    <xdr:to>
      <xdr:col>25</xdr:col>
      <xdr:colOff>274321</xdr:colOff>
      <xdr:row>17</xdr:row>
      <xdr:rowOff>83820</xdr:rowOff>
    </xdr:to>
    <xdr:graphicFrame macro="">
      <xdr:nvGraphicFramePr>
        <xdr:cNvPr id="34" name="Chart 33">
          <a:extLst>
            <a:ext uri="{FF2B5EF4-FFF2-40B4-BE49-F238E27FC236}">
              <a16:creationId xmlns:a16="http://schemas.microsoft.com/office/drawing/2014/main" id="{AEF06A4C-8375-4A69-9647-84B416916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114300</xdr:colOff>
      <xdr:row>17</xdr:row>
      <xdr:rowOff>114300</xdr:rowOff>
    </xdr:from>
    <xdr:to>
      <xdr:col>25</xdr:col>
      <xdr:colOff>281940</xdr:colOff>
      <xdr:row>28</xdr:row>
      <xdr:rowOff>160020</xdr:rowOff>
    </xdr:to>
    <xdr:graphicFrame macro="">
      <xdr:nvGraphicFramePr>
        <xdr:cNvPr id="36" name="Chart 35">
          <a:extLst>
            <a:ext uri="{FF2B5EF4-FFF2-40B4-BE49-F238E27FC236}">
              <a16:creationId xmlns:a16="http://schemas.microsoft.com/office/drawing/2014/main" id="{4EB24A6B-3635-4131-96D3-28A25B3E0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7620</xdr:colOff>
      <xdr:row>0</xdr:row>
      <xdr:rowOff>0</xdr:rowOff>
    </xdr:from>
    <xdr:to>
      <xdr:col>3</xdr:col>
      <xdr:colOff>236220</xdr:colOff>
      <xdr:row>2</xdr:row>
      <xdr:rowOff>129540</xdr:rowOff>
    </xdr:to>
    <xdr:sp macro="" textlink="">
      <xdr:nvSpPr>
        <xdr:cNvPr id="38" name="TextBox 37">
          <a:extLst>
            <a:ext uri="{FF2B5EF4-FFF2-40B4-BE49-F238E27FC236}">
              <a16:creationId xmlns:a16="http://schemas.microsoft.com/office/drawing/2014/main" id="{85436989-F9B7-7550-A4DE-934F3BDE742A}"/>
            </a:ext>
          </a:extLst>
        </xdr:cNvPr>
        <xdr:cNvSpPr txBox="1"/>
      </xdr:nvSpPr>
      <xdr:spPr>
        <a:xfrm>
          <a:off x="7620" y="0"/>
          <a:ext cx="130302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7620</xdr:colOff>
      <xdr:row>0</xdr:row>
      <xdr:rowOff>0</xdr:rowOff>
    </xdr:from>
    <xdr:to>
      <xdr:col>2</xdr:col>
      <xdr:colOff>327660</xdr:colOff>
      <xdr:row>2</xdr:row>
      <xdr:rowOff>121920</xdr:rowOff>
    </xdr:to>
    <xdr:pic>
      <xdr:nvPicPr>
        <xdr:cNvPr id="39" name="Picture 38">
          <a:extLst>
            <a:ext uri="{FF2B5EF4-FFF2-40B4-BE49-F238E27FC236}">
              <a16:creationId xmlns:a16="http://schemas.microsoft.com/office/drawing/2014/main" id="{BC670F20-8DEF-4C13-A690-37A88DBC3AB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7620" y="0"/>
          <a:ext cx="1310640" cy="487680"/>
        </a:xfrm>
        <a:prstGeom prst="rect">
          <a:avLst/>
        </a:prstGeom>
      </xdr:spPr>
    </xdr:pic>
    <xdr:clientData/>
  </xdr:twoCellAnchor>
  <xdr:twoCellAnchor editAs="oneCell">
    <xdr:from>
      <xdr:col>0</xdr:col>
      <xdr:colOff>0</xdr:colOff>
      <xdr:row>15</xdr:row>
      <xdr:rowOff>106681</xdr:rowOff>
    </xdr:from>
    <xdr:to>
      <xdr:col>3</xdr:col>
      <xdr:colOff>243840</xdr:colOff>
      <xdr:row>22</xdr:row>
      <xdr:rowOff>22860</xdr:rowOff>
    </xdr:to>
    <mc:AlternateContent xmlns:mc="http://schemas.openxmlformats.org/markup-compatibility/2006">
      <mc:Choice xmlns:a14="http://schemas.microsoft.com/office/drawing/2010/main" Requires="a14">
        <xdr:graphicFrame macro="">
          <xdr:nvGraphicFramePr>
            <xdr:cNvPr id="42" name="Gender Value">
              <a:extLst>
                <a:ext uri="{FF2B5EF4-FFF2-40B4-BE49-F238E27FC236}">
                  <a16:creationId xmlns:a16="http://schemas.microsoft.com/office/drawing/2014/main" id="{CEEA6C9A-A20C-40E1-ACC7-BB0E7C6F87C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0" y="2849881"/>
              <a:ext cx="172974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7621</xdr:rowOff>
    </xdr:from>
    <xdr:to>
      <xdr:col>3</xdr:col>
      <xdr:colOff>236220</xdr:colOff>
      <xdr:row>31</xdr:row>
      <xdr:rowOff>76201</xdr:rowOff>
    </xdr:to>
    <mc:AlternateContent xmlns:mc="http://schemas.openxmlformats.org/markup-compatibility/2006">
      <mc:Choice xmlns:a14="http://schemas.microsoft.com/office/drawing/2010/main" Requires="a14">
        <xdr:graphicFrame macro="">
          <xdr:nvGraphicFramePr>
            <xdr:cNvPr id="43" name="Order Mode">
              <a:extLst>
                <a:ext uri="{FF2B5EF4-FFF2-40B4-BE49-F238E27FC236}">
                  <a16:creationId xmlns:a16="http://schemas.microsoft.com/office/drawing/2014/main" id="{52DDA5E3-8805-4DE3-A7CE-DC5217D2398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4030981"/>
              <a:ext cx="172212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7.685746875002" createdVersion="8" refreshedVersion="8" minRefreshableVersion="3" recordCount="2400" xr:uid="{75ACFE90-83E4-4E25-ACBC-997F48E7C700}">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44865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CBA8C-DC77-408F-AB31-0D83121E89EC}" name="How happy are our customers?"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6">
  <location ref="A163:E172" firstHeaderRow="1" firstDataRow="4"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Col"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x="6"/>
        <item t="default"/>
      </items>
    </pivotField>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Fields count="3">
    <field x="17"/>
    <field x="16"/>
    <field x="5"/>
  </colFields>
  <colItems count="4">
    <i>
      <x v="1"/>
    </i>
    <i>
      <x v="2"/>
    </i>
    <i>
      <x v="3"/>
    </i>
    <i t="grand">
      <x/>
    </i>
  </colItems>
  <dataFields count="1">
    <dataField name="Count of TX ID" fld="0" subtotal="count" baseField="0" baseItem="0"/>
  </dataFields>
  <chartFormats count="5">
    <chartFormat chart="52"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72" format="91" series="1">
      <pivotArea type="data" outline="0" fieldPosition="0">
        <references count="2">
          <reference field="4294967294" count="1" selected="0">
            <x v="0"/>
          </reference>
          <reference field="17" count="1" selected="0">
            <x v="1"/>
          </reference>
        </references>
      </pivotArea>
    </chartFormat>
    <chartFormat chart="72" format="92" series="1">
      <pivotArea type="data" outline="0" fieldPosition="0">
        <references count="2">
          <reference field="4294967294" count="1" selected="0">
            <x v="0"/>
          </reference>
          <reference field="17" count="1" selected="0">
            <x v="2"/>
          </reference>
        </references>
      </pivotArea>
    </chartFormat>
    <chartFormat chart="72" format="93"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5B59F-8304-44F6-920C-0B2010270FCD}" name="How long we take to ship the order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144:B160"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5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946AC-888F-48C7-BFFF-3388355D2004}" name="Where do our customers live?"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8">
  <location ref="A79:C139" firstHeaderRow="0"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axis="axisRow"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0"/>
    <field x="11"/>
  </rowFields>
  <rowItems count="6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FCE443-2570-42CD-9720-7FA75503B4C0}" name="PivotTable7"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4">
  <location ref="A71:B7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53"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8" format="5" series="1">
      <pivotArea type="data" outline="0" fieldPosition="0">
        <references count="2">
          <reference field="4294967294" count="1" selected="0">
            <x v="0"/>
          </reference>
          <reference field="14" count="1" selected="0">
            <x v="1"/>
          </reference>
        </references>
      </pivotArea>
    </chartFormat>
    <chartFormat chart="58" format="6" series="1">
      <pivotArea type="data" outline="0" fieldPosition="0">
        <references count="2">
          <reference field="4294967294" count="1" selected="0">
            <x v="0"/>
          </reference>
          <reference field="14" count="1" selected="0">
            <x v="2"/>
          </reference>
        </references>
      </pivotArea>
    </chartFormat>
    <chartFormat chart="58" format="7" series="1">
      <pivotArea type="data" outline="0" fieldPosition="0">
        <references count="2">
          <reference field="4294967294" count="1" selected="0">
            <x v="0"/>
          </reference>
          <reference field="14" count="1" selected="0">
            <x v="3"/>
          </reference>
        </references>
      </pivotArea>
    </chartFormat>
    <chartFormat chart="53" format="5" series="1">
      <pivotArea type="data" outline="0" fieldPosition="0">
        <references count="2">
          <reference field="4294967294" count="1" selected="0">
            <x v="0"/>
          </reference>
          <reference field="14" count="1" selected="0">
            <x v="1"/>
          </reference>
        </references>
      </pivotArea>
    </chartFormat>
    <chartFormat chart="53" format="6" series="1">
      <pivotArea type="data" outline="0" fieldPosition="0">
        <references count="2">
          <reference field="4294967294" count="1" selected="0">
            <x v="0"/>
          </reference>
          <reference field="14" count="1" selected="0">
            <x v="2"/>
          </reference>
        </references>
      </pivotArea>
    </chartFormat>
    <chartFormat chart="53" format="7" series="1">
      <pivotArea type="data" outline="0" fieldPosition="0">
        <references count="2">
          <reference field="4294967294" count="1" selected="0">
            <x v="0"/>
          </reference>
          <reference field="14" count="1" selected="0">
            <x v="3"/>
          </reference>
        </references>
      </pivotArea>
    </chartFormat>
    <chartFormat chart="67" format="0" series="1">
      <pivotArea type="data" outline="0" fieldPosition="0">
        <references count="1">
          <reference field="4294967294" count="1" selected="0">
            <x v="0"/>
          </reference>
        </references>
      </pivotArea>
    </chartFormat>
    <chartFormat chart="67" format="1">
      <pivotArea type="data" outline="0" fieldPosition="0">
        <references count="2">
          <reference field="4294967294" count="1" selected="0">
            <x v="0"/>
          </reference>
          <reference field="14" count="1" selected="0">
            <x v="0"/>
          </reference>
        </references>
      </pivotArea>
    </chartFormat>
    <chartFormat chart="67" format="2">
      <pivotArea type="data" outline="0" fieldPosition="0">
        <references count="2">
          <reference field="4294967294" count="1" selected="0">
            <x v="0"/>
          </reference>
          <reference field="14" count="1" selected="0">
            <x v="3"/>
          </reference>
        </references>
      </pivotArea>
    </chartFormat>
    <chartFormat chart="67" format="3">
      <pivotArea type="data" outline="0" fieldPosition="0">
        <references count="2">
          <reference field="4294967294" count="1" selected="0">
            <x v="0"/>
          </reference>
          <reference field="14" count="1" selected="0">
            <x v="2"/>
          </reference>
        </references>
      </pivotArea>
    </chartFormat>
    <chartFormat chart="67" format="4">
      <pivotArea type="data" outline="0" fieldPosition="0">
        <references count="2">
          <reference field="4294967294" count="1" selected="0">
            <x v="0"/>
          </reference>
          <reference field="14" count="1" selected="0">
            <x v="1"/>
          </reference>
        </references>
      </pivotArea>
    </chartFormat>
    <chartFormat chart="83" format="10" series="1">
      <pivotArea type="data" outline="0" fieldPosition="0">
        <references count="1">
          <reference field="4294967294" count="1" selected="0">
            <x v="0"/>
          </reference>
        </references>
      </pivotArea>
    </chartFormat>
    <chartFormat chart="83" format="11">
      <pivotArea type="data" outline="0" fieldPosition="0">
        <references count="2">
          <reference field="4294967294" count="1" selected="0">
            <x v="0"/>
          </reference>
          <reference field="14" count="1" selected="0">
            <x v="0"/>
          </reference>
        </references>
      </pivotArea>
    </chartFormat>
    <chartFormat chart="83" format="12">
      <pivotArea type="data" outline="0" fieldPosition="0">
        <references count="2">
          <reference field="4294967294" count="1" selected="0">
            <x v="0"/>
          </reference>
          <reference field="14" count="1" selected="0">
            <x v="1"/>
          </reference>
        </references>
      </pivotArea>
    </chartFormat>
    <chartFormat chart="83" format="13">
      <pivotArea type="data" outline="0" fieldPosition="0">
        <references count="2">
          <reference field="4294967294" count="1" selected="0">
            <x v="0"/>
          </reference>
          <reference field="14" count="1" selected="0">
            <x v="2"/>
          </reference>
        </references>
      </pivotArea>
    </chartFormat>
    <chartFormat chart="83"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13A01-0BC4-4D74-ABDF-691A5F7E5E77}" name="PivotTable6" cacheId="2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45:F67"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58" format="0" series="1">
      <pivotArea type="data" outline="0" fieldPosition="0">
        <references count="1">
          <reference field="4294967294" count="1" selected="0">
            <x v="0"/>
          </reference>
        </references>
      </pivotArea>
    </chartFormat>
    <chartFormat chart="58" format="5" series="1">
      <pivotArea type="data" outline="0" fieldPosition="0">
        <references count="2">
          <reference field="4294967294" count="1" selected="0">
            <x v="0"/>
          </reference>
          <reference field="14" count="1" selected="0">
            <x v="1"/>
          </reference>
        </references>
      </pivotArea>
    </chartFormat>
    <chartFormat chart="58" format="6" series="1">
      <pivotArea type="data" outline="0" fieldPosition="0">
        <references count="2">
          <reference field="4294967294" count="1" selected="0">
            <x v="0"/>
          </reference>
          <reference field="14" count="1" selected="0">
            <x v="2"/>
          </reference>
        </references>
      </pivotArea>
    </chartFormat>
    <chartFormat chart="58" format="7" series="1">
      <pivotArea type="data" outline="0" fieldPosition="0">
        <references count="2">
          <reference field="4294967294" count="1" selected="0">
            <x v="0"/>
          </reference>
          <reference field="14" count="1" selected="0">
            <x v="3"/>
          </reference>
        </references>
      </pivotArea>
    </chartFormat>
    <chartFormat chart="69" format="12" series="1">
      <pivotArea type="data" outline="0" fieldPosition="0">
        <references count="2">
          <reference field="4294967294" count="1" selected="0">
            <x v="0"/>
          </reference>
          <reference field="14" count="1" selected="0">
            <x v="0"/>
          </reference>
        </references>
      </pivotArea>
    </chartFormat>
    <chartFormat chart="69" format="13" series="1">
      <pivotArea type="data" outline="0" fieldPosition="0">
        <references count="2">
          <reference field="4294967294" count="1" selected="0">
            <x v="0"/>
          </reference>
          <reference field="14" count="1" selected="0">
            <x v="1"/>
          </reference>
        </references>
      </pivotArea>
    </chartFormat>
    <chartFormat chart="69" format="14" series="1">
      <pivotArea type="data" outline="0" fieldPosition="0">
        <references count="2">
          <reference field="4294967294" count="1" selected="0">
            <x v="0"/>
          </reference>
          <reference field="14" count="1" selected="0">
            <x v="2"/>
          </reference>
        </references>
      </pivotArea>
    </chartFormat>
    <chartFormat chart="69"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62597-4CEC-4733-BC29-3D4402C350A6}" name="Which products are popular?"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5:B43"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82A054-CA1F-4D08-B9D4-1DF236760529}" name="How many they bu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5:F32"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2">
    <format dxfId="2">
      <pivotArea collapsedLevelsAreSubtotals="1" fieldPosition="0">
        <references count="1">
          <reference field="8" count="0"/>
        </references>
      </pivotArea>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DDCB4E-C0B5-429D-86D7-EF8CFBEE3D88}" name="How our customers like to bu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2">
    <format dxfId="0">
      <pivotArea collapsedLevelsAreSubtotals="1" fieldPosition="0">
        <references count="2">
          <reference field="4294967294" count="1" selected="0">
            <x v="1"/>
          </reference>
          <reference field="13" count="0"/>
        </references>
      </pivotArea>
    </format>
    <format dxfId="1">
      <pivotArea collapsedLevelsAreSubtotals="1" fieldPosition="0">
        <references count="2">
          <reference field="4294967294" count="1" selected="0">
            <x v="0"/>
          </reference>
          <reference field="13" count="0"/>
        </references>
      </pivotArea>
    </format>
  </formats>
  <chartFormats count="4">
    <chartFormat chart="10" format="0" series="1">
      <pivotArea type="data" outline="0" fieldPosition="0">
        <references count="1">
          <reference field="4294967294" count="1" selected="0">
            <x v="1"/>
          </reference>
        </references>
      </pivotArea>
    </chartFormat>
    <chartFormat chart="10" format="1"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8C74EE-C5B4-4E06-A2BE-81ADCCEA6A85}" name="Trend in the last 13 week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1"/>
    <dataField name="Average of Rating C"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4A47032-22E4-4F3E-B0ED-9AA5947A4D21}" sourceName="Gender Value">
  <pivotTables>
    <pivotTable tabId="5" name="How happy are our customers?"/>
    <pivotTable tabId="5" name="How long we take to ship the orders"/>
    <pivotTable tabId="5" name="How many they buy?"/>
    <pivotTable tabId="5" name="How our customers like to buy"/>
    <pivotTable tabId="5" name="Trend in the last 13 weeks"/>
    <pivotTable tabId="5" name="Where do our customers live?"/>
    <pivotTable tabId="5" name="Which products are popular?"/>
  </pivotTables>
  <data>
    <tabular pivotCacheId="34486543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5C79E47-8C0D-4ED4-B9BA-88C78D6FA337}" sourceName="Order Mode">
  <pivotTables>
    <pivotTable tabId="5" name="How happy are our customers?"/>
    <pivotTable tabId="5" name="How long we take to ship the orders"/>
    <pivotTable tabId="5" name="How many they buy?"/>
    <pivotTable tabId="5" name="How our customers like to buy"/>
    <pivotTable tabId="5" name="Trend in the last 13 weeks"/>
    <pivotTable tabId="5" name="Where do our customers live?"/>
    <pivotTable tabId="5" name="Which products are popular?"/>
  </pivotTables>
  <data>
    <tabular pivotCacheId="344865430">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F33B455B-3E6A-470F-A320-FDCA684F3BB3}" cache="Slicer_Gender_Value" caption="Gender Value" startItem="2" rowHeight="247650"/>
  <slicer name="Order Mode" xr10:uid="{7FE98F03-D312-4F1D-9D57-CC0D6B880AEF}" cache="Slicer_Order_Mode" caption="Order Mode" startItem="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4" workbookViewId="0">
      <selection activeCell="O1" activeCellId="1" sqref="I1:I1048576 O1:O104857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36E8-F544-4DF4-B4A9-96CB42F1B3B0}">
  <dimension ref="A1:P2481"/>
  <sheetViews>
    <sheetView showGridLines="0" topLeftCell="A151" zoomScale="96" zoomScaleNormal="85" workbookViewId="0">
      <selection activeCell="C174" sqref="C174"/>
    </sheetView>
  </sheetViews>
  <sheetFormatPr defaultColWidth="7.77734375" defaultRowHeight="14.4" x14ac:dyDescent="0.3"/>
  <cols>
    <col min="1" max="1" width="13" bestFit="1" customWidth="1"/>
    <col min="2" max="2" width="12.77734375" bestFit="1" customWidth="1"/>
    <col min="3" max="3" width="14.109375" bestFit="1" customWidth="1"/>
    <col min="4" max="4" width="23.21875" bestFit="1" customWidth="1"/>
    <col min="5" max="5" width="17.33203125" bestFit="1" customWidth="1"/>
    <col min="6" max="6" width="11" bestFit="1" customWidth="1"/>
    <col min="7" max="7" width="13" bestFit="1" customWidth="1"/>
    <col min="8" max="8" width="14.88671875" customWidth="1"/>
    <col min="9" max="9" width="7.77734375" customWidth="1"/>
    <col min="10" max="10" width="10.109375" bestFit="1" customWidth="1"/>
    <col min="11" max="12" width="7.77734375" customWidth="1"/>
    <col min="14" max="14" width="9.33203125" bestFit="1" customWidth="1"/>
    <col min="15" max="15" width="21.5546875" bestFit="1" customWidth="1"/>
  </cols>
  <sheetData>
    <row r="1" spans="1:11" x14ac:dyDescent="0.3">
      <c r="A1" t="s">
        <v>2518</v>
      </c>
      <c r="B1" t="s">
        <v>2519</v>
      </c>
      <c r="C1" t="s">
        <v>2520</v>
      </c>
      <c r="D1" t="s">
        <v>2522</v>
      </c>
      <c r="E1" t="s">
        <v>2521</v>
      </c>
    </row>
    <row r="2" spans="1:11" x14ac:dyDescent="0.3">
      <c r="A2" s="9">
        <v>2400</v>
      </c>
      <c r="B2" s="9">
        <v>11997</v>
      </c>
      <c r="C2" s="9">
        <v>649019.80000000144</v>
      </c>
      <c r="D2" s="9">
        <v>2.3424999999999998</v>
      </c>
      <c r="E2" s="9">
        <v>3.9620833333333332</v>
      </c>
      <c r="G2" t="s">
        <v>2523</v>
      </c>
    </row>
    <row r="3" spans="1:11" x14ac:dyDescent="0.3">
      <c r="G3" t="s">
        <v>2524</v>
      </c>
      <c r="H3" t="s">
        <v>2</v>
      </c>
      <c r="I3" t="s">
        <v>4</v>
      </c>
      <c r="J3" t="s">
        <v>2507</v>
      </c>
      <c r="K3" t="s">
        <v>2525</v>
      </c>
    </row>
    <row r="4" spans="1:11" x14ac:dyDescent="0.3">
      <c r="G4" t="str">
        <f>TEXT(A2, "#,##")</f>
        <v>2,400</v>
      </c>
      <c r="H4" t="str">
        <f>TEXT(B2, "#,##")</f>
        <v>11,997</v>
      </c>
      <c r="I4" t="str">
        <f>TEXT(C2, "$#,##,.0k")</f>
        <v>$649.0k</v>
      </c>
      <c r="J4" t="str">
        <f>TEXT(D2, "0.0")</f>
        <v>2.3</v>
      </c>
      <c r="K4" t="str">
        <f>TEXT(E2, "0.0")</f>
        <v>4.0</v>
      </c>
    </row>
    <row r="7" spans="1:11" x14ac:dyDescent="0.3">
      <c r="A7" s="10" t="s">
        <v>2526</v>
      </c>
      <c r="B7" t="s">
        <v>2519</v>
      </c>
      <c r="C7" t="s">
        <v>2520</v>
      </c>
    </row>
    <row r="8" spans="1:11" x14ac:dyDescent="0.3">
      <c r="A8" s="11">
        <v>1</v>
      </c>
      <c r="B8" s="13">
        <v>546</v>
      </c>
      <c r="C8" s="12">
        <v>32413.300000000003</v>
      </c>
    </row>
    <row r="9" spans="1:11" x14ac:dyDescent="0.3">
      <c r="A9" s="11">
        <v>2</v>
      </c>
      <c r="B9" s="13">
        <v>905</v>
      </c>
      <c r="C9" s="12">
        <v>49562.999999999993</v>
      </c>
    </row>
    <row r="10" spans="1:11" x14ac:dyDescent="0.3">
      <c r="A10" s="11">
        <v>3</v>
      </c>
      <c r="B10" s="13">
        <v>796</v>
      </c>
      <c r="C10" s="12">
        <v>41700.400000000016</v>
      </c>
    </row>
    <row r="11" spans="1:11" x14ac:dyDescent="0.3">
      <c r="A11" s="11">
        <v>4</v>
      </c>
      <c r="B11" s="13">
        <v>913</v>
      </c>
      <c r="C11" s="12">
        <v>46782.599999999984</v>
      </c>
    </row>
    <row r="12" spans="1:11" x14ac:dyDescent="0.3">
      <c r="A12" s="11">
        <v>5</v>
      </c>
      <c r="B12" s="13">
        <v>844</v>
      </c>
      <c r="C12" s="12">
        <v>42676.100000000006</v>
      </c>
    </row>
    <row r="13" spans="1:11" x14ac:dyDescent="0.3">
      <c r="A13" s="11">
        <v>6</v>
      </c>
      <c r="B13" s="13">
        <v>1202</v>
      </c>
      <c r="C13" s="12">
        <v>62910.7</v>
      </c>
    </row>
    <row r="14" spans="1:11" x14ac:dyDescent="0.3">
      <c r="A14" s="11">
        <v>7</v>
      </c>
      <c r="B14" s="13">
        <v>935</v>
      </c>
      <c r="C14" s="12">
        <v>50332.200000000004</v>
      </c>
    </row>
    <row r="15" spans="1:11" x14ac:dyDescent="0.3">
      <c r="A15" s="11">
        <v>8</v>
      </c>
      <c r="B15" s="13">
        <v>1128</v>
      </c>
      <c r="C15" s="12">
        <v>58760.599999999977</v>
      </c>
    </row>
    <row r="16" spans="1:11" x14ac:dyDescent="0.3">
      <c r="A16" s="11">
        <v>9</v>
      </c>
      <c r="B16" s="13">
        <v>1007</v>
      </c>
      <c r="C16" s="12">
        <v>52017.299999999996</v>
      </c>
    </row>
    <row r="17" spans="1:12" x14ac:dyDescent="0.3">
      <c r="A17" s="11">
        <v>10</v>
      </c>
      <c r="B17" s="13">
        <v>1128</v>
      </c>
      <c r="C17" s="12">
        <v>64915.700000000033</v>
      </c>
    </row>
    <row r="18" spans="1:12" x14ac:dyDescent="0.3">
      <c r="A18" s="11">
        <v>11</v>
      </c>
      <c r="B18" s="13">
        <v>861</v>
      </c>
      <c r="C18" s="12">
        <v>45943.80000000001</v>
      </c>
    </row>
    <row r="19" spans="1:12" x14ac:dyDescent="0.3">
      <c r="A19" s="11">
        <v>12</v>
      </c>
      <c r="B19" s="13">
        <v>944</v>
      </c>
      <c r="C19" s="12">
        <v>55077.900000000031</v>
      </c>
    </row>
    <row r="20" spans="1:12" x14ac:dyDescent="0.3">
      <c r="A20" s="11">
        <v>13</v>
      </c>
      <c r="B20" s="13">
        <v>788</v>
      </c>
      <c r="C20" s="12">
        <v>45926.19999999999</v>
      </c>
    </row>
    <row r="21" spans="1:12" x14ac:dyDescent="0.3">
      <c r="A21" s="11" t="s">
        <v>2527</v>
      </c>
      <c r="B21" s="9">
        <v>11997</v>
      </c>
      <c r="C21" s="9">
        <v>649019.79999999993</v>
      </c>
    </row>
    <row r="25" spans="1:12" x14ac:dyDescent="0.3">
      <c r="A25" s="10" t="s">
        <v>2520</v>
      </c>
      <c r="B25" s="10" t="s">
        <v>2528</v>
      </c>
      <c r="H25" t="s">
        <v>2533</v>
      </c>
    </row>
    <row r="26" spans="1:12" x14ac:dyDescent="0.3">
      <c r="A26" s="10" t="s">
        <v>2526</v>
      </c>
      <c r="B26" t="s">
        <v>2529</v>
      </c>
      <c r="C26" t="s">
        <v>2530</v>
      </c>
      <c r="D26" t="s">
        <v>2531</v>
      </c>
      <c r="E26" t="s">
        <v>2532</v>
      </c>
      <c r="F26" t="s">
        <v>2527</v>
      </c>
      <c r="H26" s="15"/>
      <c r="I26" s="16" t="str">
        <f>B26</f>
        <v>Female</v>
      </c>
      <c r="J26" s="16" t="str">
        <f t="shared" ref="J26:L31" si="0">C26</f>
        <v>Male</v>
      </c>
      <c r="K26" s="16" t="str">
        <f t="shared" si="0"/>
        <v>Other</v>
      </c>
      <c r="L26" s="17" t="str">
        <f t="shared" si="0"/>
        <v>Unknown</v>
      </c>
    </row>
    <row r="27" spans="1:12" x14ac:dyDescent="0.3">
      <c r="A27" s="11" t="s">
        <v>18</v>
      </c>
      <c r="B27" s="14">
        <v>0.18961825201634841</v>
      </c>
      <c r="C27" s="14">
        <v>0.12262322351336576</v>
      </c>
      <c r="D27" s="14">
        <v>1.060537752469185E-2</v>
      </c>
      <c r="E27" s="14">
        <v>3.0599220547662797E-2</v>
      </c>
      <c r="F27" s="14">
        <v>0.35344607360206881</v>
      </c>
      <c r="H27" s="18" t="str">
        <f>A27</f>
        <v>App</v>
      </c>
      <c r="I27" s="19">
        <v>0.18961825201634841</v>
      </c>
      <c r="J27" s="19">
        <v>0.12262322351336576</v>
      </c>
      <c r="K27" s="19">
        <v>1.060537752469185E-2</v>
      </c>
      <c r="L27" s="20">
        <v>3.0599220547662797E-2</v>
      </c>
    </row>
    <row r="28" spans="1:12" x14ac:dyDescent="0.3">
      <c r="A28" s="11" t="s">
        <v>51</v>
      </c>
      <c r="B28" s="14">
        <v>5.0283982091147303E-2</v>
      </c>
      <c r="C28" s="14">
        <v>4.3060781812819873E-2</v>
      </c>
      <c r="D28" s="14">
        <v>1.5320025675641944E-3</v>
      </c>
      <c r="E28" s="14">
        <v>1.7794988689097006E-2</v>
      </c>
      <c r="F28" s="14">
        <v>0.11267175516062837</v>
      </c>
      <c r="H28" s="18" t="str">
        <f t="shared" ref="H28:H31" si="1">A28</f>
        <v>Instagram</v>
      </c>
      <c r="I28" s="19">
        <v>5.0283982091147303E-2</v>
      </c>
      <c r="J28" s="19">
        <v>4.3060781812819873E-2</v>
      </c>
      <c r="K28" s="19">
        <v>1.5320025675641944E-3</v>
      </c>
      <c r="L28" s="20">
        <v>1.7794988689097006E-2</v>
      </c>
    </row>
    <row r="29" spans="1:12" x14ac:dyDescent="0.3">
      <c r="A29" s="11" t="s">
        <v>70</v>
      </c>
      <c r="B29" s="14">
        <v>6.3496059750411282E-2</v>
      </c>
      <c r="C29" s="14">
        <v>4.6071629863988765E-2</v>
      </c>
      <c r="D29" s="14">
        <v>2.306247051322625E-3</v>
      </c>
      <c r="E29" s="14">
        <v>3.8927934093844286E-3</v>
      </c>
      <c r="F29" s="14">
        <v>0.11576673007510711</v>
      </c>
      <c r="H29" s="18" t="str">
        <f t="shared" si="1"/>
        <v>Partner App</v>
      </c>
      <c r="I29" s="19">
        <v>6.3496059750411282E-2</v>
      </c>
      <c r="J29" s="19">
        <v>4.6071629863988765E-2</v>
      </c>
      <c r="K29" s="19">
        <v>2.306247051322625E-3</v>
      </c>
      <c r="L29" s="20">
        <v>3.8927934093844286E-3</v>
      </c>
    </row>
    <row r="30" spans="1:12" x14ac:dyDescent="0.3">
      <c r="A30" s="11" t="s">
        <v>40</v>
      </c>
      <c r="B30" s="14">
        <v>9.6337892927149532E-2</v>
      </c>
      <c r="C30" s="14">
        <v>6.7920115842382611E-2</v>
      </c>
      <c r="D30" s="14">
        <v>5.4979832664581261E-3</v>
      </c>
      <c r="E30" s="14">
        <v>1.2933041488102518E-2</v>
      </c>
      <c r="F30" s="14">
        <v>0.1826890335240928</v>
      </c>
      <c r="H30" s="18" t="str">
        <f t="shared" si="1"/>
        <v>Target.com</v>
      </c>
      <c r="I30" s="19">
        <v>9.6337892927149532E-2</v>
      </c>
      <c r="J30" s="19">
        <v>6.7920115842382611E-2</v>
      </c>
      <c r="K30" s="19">
        <v>5.4979832664581261E-3</v>
      </c>
      <c r="L30" s="20">
        <v>1.2933041488102518E-2</v>
      </c>
    </row>
    <row r="31" spans="1:12" x14ac:dyDescent="0.3">
      <c r="A31" s="11" t="s">
        <v>35</v>
      </c>
      <c r="B31" s="14">
        <v>0.12522098709469262</v>
      </c>
      <c r="C31" s="14">
        <v>9.1492740283116228E-2</v>
      </c>
      <c r="D31" s="14">
        <v>6.3042760790965081E-3</v>
      </c>
      <c r="E31" s="14">
        <v>1.2408404181197551E-2</v>
      </c>
      <c r="F31" s="14">
        <v>0.23542640763810288</v>
      </c>
      <c r="H31" s="21" t="str">
        <f t="shared" si="1"/>
        <v>Website</v>
      </c>
      <c r="I31" s="22">
        <v>0.12522098709469262</v>
      </c>
      <c r="J31" s="22">
        <v>9.1492740283116228E-2</v>
      </c>
      <c r="K31" s="22">
        <v>6.3042760790965081E-3</v>
      </c>
      <c r="L31" s="23">
        <v>1.2408404181197551E-2</v>
      </c>
    </row>
    <row r="32" spans="1:12" x14ac:dyDescent="0.3">
      <c r="A32" s="11" t="s">
        <v>2527</v>
      </c>
      <c r="B32" s="14">
        <v>0.52495717387974916</v>
      </c>
      <c r="C32" s="14">
        <v>0.3711684913156732</v>
      </c>
      <c r="D32" s="14">
        <v>2.6245886489133303E-2</v>
      </c>
      <c r="E32" s="14">
        <v>7.7628448315444312E-2</v>
      </c>
      <c r="F32" s="14">
        <v>1</v>
      </c>
    </row>
    <row r="35" spans="1:6" x14ac:dyDescent="0.3">
      <c r="A35" s="10" t="s">
        <v>2526</v>
      </c>
      <c r="B35" t="s">
        <v>2518</v>
      </c>
    </row>
    <row r="36" spans="1:6" x14ac:dyDescent="0.3">
      <c r="A36" s="11">
        <v>1</v>
      </c>
      <c r="B36" s="9">
        <v>397</v>
      </c>
    </row>
    <row r="37" spans="1:6" x14ac:dyDescent="0.3">
      <c r="A37" s="11">
        <v>2</v>
      </c>
      <c r="B37" s="9">
        <v>540</v>
      </c>
    </row>
    <row r="38" spans="1:6" x14ac:dyDescent="0.3">
      <c r="A38" s="11">
        <v>3</v>
      </c>
      <c r="B38" s="9">
        <v>375</v>
      </c>
    </row>
    <row r="39" spans="1:6" x14ac:dyDescent="0.3">
      <c r="A39" s="11">
        <v>4</v>
      </c>
      <c r="B39" s="9">
        <v>246</v>
      </c>
    </row>
    <row r="40" spans="1:6" x14ac:dyDescent="0.3">
      <c r="A40" s="11">
        <v>5</v>
      </c>
      <c r="B40" s="9">
        <v>195</v>
      </c>
    </row>
    <row r="41" spans="1:6" x14ac:dyDescent="0.3">
      <c r="A41" s="11" t="s">
        <v>2534</v>
      </c>
      <c r="B41" s="9">
        <v>414</v>
      </c>
    </row>
    <row r="42" spans="1:6" x14ac:dyDescent="0.3">
      <c r="A42" s="11" t="s">
        <v>2535</v>
      </c>
      <c r="B42" s="9">
        <v>233</v>
      </c>
    </row>
    <row r="43" spans="1:6" x14ac:dyDescent="0.3">
      <c r="A43" s="11" t="s">
        <v>2527</v>
      </c>
      <c r="B43" s="9">
        <v>2400</v>
      </c>
    </row>
    <row r="45" spans="1:6" x14ac:dyDescent="0.3">
      <c r="A45" s="10" t="s">
        <v>2519</v>
      </c>
      <c r="B45" s="10" t="s">
        <v>2528</v>
      </c>
    </row>
    <row r="46" spans="1:6" x14ac:dyDescent="0.3">
      <c r="A46" s="10" t="s">
        <v>2526</v>
      </c>
      <c r="B46" t="s">
        <v>2529</v>
      </c>
      <c r="C46" t="s">
        <v>2530</v>
      </c>
      <c r="D46" t="s">
        <v>2531</v>
      </c>
      <c r="E46" t="s">
        <v>2532</v>
      </c>
      <c r="F46" t="s">
        <v>2527</v>
      </c>
    </row>
    <row r="47" spans="1:6" x14ac:dyDescent="0.3">
      <c r="A47" s="11" t="s">
        <v>44</v>
      </c>
      <c r="B47" s="9">
        <v>744</v>
      </c>
      <c r="C47" s="9">
        <v>713</v>
      </c>
      <c r="D47" s="9">
        <v>90</v>
      </c>
      <c r="E47" s="9">
        <v>98</v>
      </c>
      <c r="F47" s="9">
        <v>1645</v>
      </c>
    </row>
    <row r="48" spans="1:6" x14ac:dyDescent="0.3">
      <c r="A48" s="11" t="s">
        <v>39</v>
      </c>
      <c r="B48" s="9">
        <v>716</v>
      </c>
      <c r="C48" s="9">
        <v>598</v>
      </c>
      <c r="D48" s="9">
        <v>18</v>
      </c>
      <c r="E48" s="9">
        <v>214</v>
      </c>
      <c r="F48" s="9">
        <v>1546</v>
      </c>
    </row>
    <row r="49" spans="1:6" x14ac:dyDescent="0.3">
      <c r="A49" s="11" t="s">
        <v>26</v>
      </c>
      <c r="B49" s="9">
        <v>627</v>
      </c>
      <c r="C49" s="9">
        <v>393</v>
      </c>
      <c r="D49" s="9">
        <v>29</v>
      </c>
      <c r="E49" s="9">
        <v>137</v>
      </c>
      <c r="F49" s="9">
        <v>1186</v>
      </c>
    </row>
    <row r="50" spans="1:6" x14ac:dyDescent="0.3">
      <c r="A50" s="11" t="s">
        <v>22</v>
      </c>
      <c r="B50" s="9">
        <v>568</v>
      </c>
      <c r="C50" s="9">
        <v>306</v>
      </c>
      <c r="D50" s="9">
        <v>22</v>
      </c>
      <c r="E50" s="9">
        <v>16</v>
      </c>
      <c r="F50" s="9">
        <v>912</v>
      </c>
    </row>
    <row r="51" spans="1:6" x14ac:dyDescent="0.3">
      <c r="A51" s="11" t="s">
        <v>54</v>
      </c>
      <c r="B51" s="9">
        <v>482</v>
      </c>
      <c r="C51" s="9">
        <v>295</v>
      </c>
      <c r="D51" s="9">
        <v>8</v>
      </c>
      <c r="E51" s="9">
        <v>22</v>
      </c>
      <c r="F51" s="9">
        <v>807</v>
      </c>
    </row>
    <row r="52" spans="1:6" x14ac:dyDescent="0.3">
      <c r="A52" s="11" t="s">
        <v>16</v>
      </c>
      <c r="B52" s="9">
        <v>428</v>
      </c>
      <c r="C52" s="9">
        <v>293</v>
      </c>
      <c r="D52" s="9"/>
      <c r="E52" s="9">
        <v>24</v>
      </c>
      <c r="F52" s="9">
        <v>745</v>
      </c>
    </row>
    <row r="53" spans="1:6" x14ac:dyDescent="0.3">
      <c r="A53" s="11" t="s">
        <v>46</v>
      </c>
      <c r="B53" s="9">
        <v>445</v>
      </c>
      <c r="C53" s="9">
        <v>202</v>
      </c>
      <c r="D53" s="9">
        <v>14</v>
      </c>
      <c r="E53" s="9">
        <v>39</v>
      </c>
      <c r="F53" s="9">
        <v>700</v>
      </c>
    </row>
    <row r="54" spans="1:6" x14ac:dyDescent="0.3">
      <c r="A54" s="11" t="s">
        <v>32</v>
      </c>
      <c r="B54" s="9">
        <v>431</v>
      </c>
      <c r="C54" s="9">
        <v>187</v>
      </c>
      <c r="D54" s="9">
        <v>14</v>
      </c>
      <c r="E54" s="9">
        <v>15</v>
      </c>
      <c r="F54" s="9">
        <v>647</v>
      </c>
    </row>
    <row r="55" spans="1:6" x14ac:dyDescent="0.3">
      <c r="A55" s="11" t="s">
        <v>42</v>
      </c>
      <c r="B55" s="9">
        <v>264</v>
      </c>
      <c r="C55" s="9">
        <v>318</v>
      </c>
      <c r="D55" s="9">
        <v>15</v>
      </c>
      <c r="E55" s="9">
        <v>9</v>
      </c>
      <c r="F55" s="9">
        <v>606</v>
      </c>
    </row>
    <row r="56" spans="1:6" x14ac:dyDescent="0.3">
      <c r="A56" s="11" t="s">
        <v>37</v>
      </c>
      <c r="B56" s="9">
        <v>296</v>
      </c>
      <c r="C56" s="9">
        <v>275</v>
      </c>
      <c r="D56" s="9">
        <v>9</v>
      </c>
      <c r="E56" s="9">
        <v>23</v>
      </c>
      <c r="F56" s="9">
        <v>603</v>
      </c>
    </row>
    <row r="57" spans="1:6" x14ac:dyDescent="0.3">
      <c r="A57" s="11" t="s">
        <v>123</v>
      </c>
      <c r="B57" s="9">
        <v>153</v>
      </c>
      <c r="C57" s="9">
        <v>246</v>
      </c>
      <c r="D57" s="9">
        <v>30</v>
      </c>
      <c r="E57" s="9">
        <v>8</v>
      </c>
      <c r="F57" s="9">
        <v>437</v>
      </c>
    </row>
    <row r="58" spans="1:6" x14ac:dyDescent="0.3">
      <c r="A58" s="11" t="s">
        <v>146</v>
      </c>
      <c r="B58" s="9">
        <v>189</v>
      </c>
      <c r="C58" s="9">
        <v>168</v>
      </c>
      <c r="D58" s="9">
        <v>10</v>
      </c>
      <c r="E58" s="9">
        <v>31</v>
      </c>
      <c r="F58" s="9">
        <v>398</v>
      </c>
    </row>
    <row r="59" spans="1:6" x14ac:dyDescent="0.3">
      <c r="A59" s="11" t="s">
        <v>69</v>
      </c>
      <c r="B59" s="9">
        <v>234</v>
      </c>
      <c r="C59" s="9">
        <v>93</v>
      </c>
      <c r="D59" s="9">
        <v>19</v>
      </c>
      <c r="E59" s="9">
        <v>24</v>
      </c>
      <c r="F59" s="9">
        <v>370</v>
      </c>
    </row>
    <row r="60" spans="1:6" x14ac:dyDescent="0.3">
      <c r="A60" s="11" t="s">
        <v>30</v>
      </c>
      <c r="B60" s="9">
        <v>146</v>
      </c>
      <c r="C60" s="9">
        <v>94</v>
      </c>
      <c r="D60" s="9">
        <v>4</v>
      </c>
      <c r="E60" s="9">
        <v>28</v>
      </c>
      <c r="F60" s="9">
        <v>272</v>
      </c>
    </row>
    <row r="61" spans="1:6" x14ac:dyDescent="0.3">
      <c r="A61" s="11" t="s">
        <v>135</v>
      </c>
      <c r="B61" s="9">
        <v>127</v>
      </c>
      <c r="C61" s="9">
        <v>118</v>
      </c>
      <c r="D61" s="9">
        <v>13</v>
      </c>
      <c r="E61" s="9">
        <v>12</v>
      </c>
      <c r="F61" s="9">
        <v>270</v>
      </c>
    </row>
    <row r="62" spans="1:6" x14ac:dyDescent="0.3">
      <c r="A62" s="11" t="s">
        <v>67</v>
      </c>
      <c r="B62" s="9">
        <v>179</v>
      </c>
      <c r="C62" s="9">
        <v>76</v>
      </c>
      <c r="D62" s="9">
        <v>3</v>
      </c>
      <c r="E62" s="9"/>
      <c r="F62" s="9">
        <v>258</v>
      </c>
    </row>
    <row r="63" spans="1:6" x14ac:dyDescent="0.3">
      <c r="A63" s="11" t="s">
        <v>128</v>
      </c>
      <c r="B63" s="9">
        <v>99</v>
      </c>
      <c r="C63" s="9">
        <v>69</v>
      </c>
      <c r="D63" s="9">
        <v>3</v>
      </c>
      <c r="E63" s="9">
        <v>24</v>
      </c>
      <c r="F63" s="9">
        <v>195</v>
      </c>
    </row>
    <row r="64" spans="1:6" x14ac:dyDescent="0.3">
      <c r="A64" s="11" t="s">
        <v>76</v>
      </c>
      <c r="B64" s="9">
        <v>75</v>
      </c>
      <c r="C64" s="9">
        <v>103</v>
      </c>
      <c r="D64" s="9">
        <v>4</v>
      </c>
      <c r="E64" s="9">
        <v>6</v>
      </c>
      <c r="F64" s="9">
        <v>188</v>
      </c>
    </row>
    <row r="65" spans="1:6" x14ac:dyDescent="0.3">
      <c r="A65" s="11" t="s">
        <v>81</v>
      </c>
      <c r="B65" s="9">
        <v>43</v>
      </c>
      <c r="C65" s="9">
        <v>90</v>
      </c>
      <c r="D65" s="9">
        <v>8</v>
      </c>
      <c r="E65" s="9">
        <v>6</v>
      </c>
      <c r="F65" s="9">
        <v>147</v>
      </c>
    </row>
    <row r="66" spans="1:6" x14ac:dyDescent="0.3">
      <c r="A66" s="11" t="s">
        <v>171</v>
      </c>
      <c r="B66" s="9">
        <v>26</v>
      </c>
      <c r="C66" s="9">
        <v>35</v>
      </c>
      <c r="D66" s="9">
        <v>4</v>
      </c>
      <c r="E66" s="9"/>
      <c r="F66" s="9">
        <v>65</v>
      </c>
    </row>
    <row r="67" spans="1:6" x14ac:dyDescent="0.3">
      <c r="A67" s="11" t="s">
        <v>2527</v>
      </c>
      <c r="B67" s="9">
        <v>6272</v>
      </c>
      <c r="C67" s="9">
        <v>4672</v>
      </c>
      <c r="D67" s="9">
        <v>317</v>
      </c>
      <c r="E67" s="9">
        <v>736</v>
      </c>
      <c r="F67" s="9">
        <v>11997</v>
      </c>
    </row>
    <row r="71" spans="1:6" x14ac:dyDescent="0.3">
      <c r="A71" s="10" t="s">
        <v>2526</v>
      </c>
      <c r="B71" t="s">
        <v>2519</v>
      </c>
    </row>
    <row r="72" spans="1:6" x14ac:dyDescent="0.3">
      <c r="A72" s="11" t="s">
        <v>2529</v>
      </c>
      <c r="B72" s="9">
        <v>6272</v>
      </c>
    </row>
    <row r="73" spans="1:6" x14ac:dyDescent="0.3">
      <c r="A73" s="11" t="s">
        <v>2530</v>
      </c>
      <c r="B73" s="9">
        <v>4672</v>
      </c>
    </row>
    <row r="74" spans="1:6" x14ac:dyDescent="0.3">
      <c r="A74" s="11" t="s">
        <v>2531</v>
      </c>
      <c r="B74" s="9">
        <v>317</v>
      </c>
    </row>
    <row r="75" spans="1:6" x14ac:dyDescent="0.3">
      <c r="A75" s="11" t="s">
        <v>2532</v>
      </c>
      <c r="B75" s="9">
        <v>736</v>
      </c>
    </row>
    <row r="76" spans="1:6" x14ac:dyDescent="0.3">
      <c r="A76" s="11" t="s">
        <v>2527</v>
      </c>
      <c r="B76" s="9">
        <v>11997</v>
      </c>
    </row>
    <row r="79" spans="1:6" x14ac:dyDescent="0.3">
      <c r="A79" s="10" t="s">
        <v>2526</v>
      </c>
      <c r="B79" t="s">
        <v>2519</v>
      </c>
      <c r="C79" t="s">
        <v>2520</v>
      </c>
    </row>
    <row r="80" spans="1:6" ht="15" thickBot="1" x14ac:dyDescent="0.35">
      <c r="A80" s="11" t="s">
        <v>19</v>
      </c>
      <c r="B80" s="9">
        <v>11997</v>
      </c>
      <c r="C80" s="9">
        <v>649019.79999999981</v>
      </c>
    </row>
    <row r="81" spans="1:16" ht="15" thickBot="1" x14ac:dyDescent="0.35">
      <c r="A81" s="4" t="s">
        <v>115</v>
      </c>
      <c r="B81" s="9">
        <v>579</v>
      </c>
      <c r="C81" s="9">
        <v>31884.999999999996</v>
      </c>
      <c r="G81" s="5" t="s">
        <v>10</v>
      </c>
      <c r="H81" s="5" t="s">
        <v>11</v>
      </c>
      <c r="I81" t="s">
        <v>2536</v>
      </c>
      <c r="N81" s="5" t="s">
        <v>10</v>
      </c>
      <c r="O81" s="5" t="s">
        <v>11</v>
      </c>
      <c r="P81" t="s">
        <v>4</v>
      </c>
    </row>
    <row r="82" spans="1:16" x14ac:dyDescent="0.3">
      <c r="A82" s="4" t="s">
        <v>20</v>
      </c>
      <c r="B82" s="9">
        <v>1</v>
      </c>
      <c r="C82" s="9">
        <v>10.9</v>
      </c>
      <c r="G82" s="6" t="s">
        <v>19</v>
      </c>
      <c r="H82" s="6" t="s">
        <v>59</v>
      </c>
      <c r="I82">
        <f>B81</f>
        <v>579</v>
      </c>
      <c r="N82" s="7" t="s">
        <v>19</v>
      </c>
      <c r="O82" s="7" t="s">
        <v>98</v>
      </c>
      <c r="P82" s="9">
        <v>215551.19999999981</v>
      </c>
    </row>
    <row r="83" spans="1:16" x14ac:dyDescent="0.3">
      <c r="A83" s="4" t="s">
        <v>641</v>
      </c>
      <c r="B83" s="9">
        <v>9</v>
      </c>
      <c r="C83" s="9">
        <v>800.3</v>
      </c>
      <c r="G83" s="6" t="s">
        <v>19</v>
      </c>
      <c r="H83" s="6" t="s">
        <v>33</v>
      </c>
      <c r="I83">
        <f>B82</f>
        <v>1</v>
      </c>
      <c r="N83" s="6" t="s">
        <v>19</v>
      </c>
      <c r="O83" s="6" t="s">
        <v>33</v>
      </c>
      <c r="P83" s="9">
        <v>98367.099999999977</v>
      </c>
    </row>
    <row r="84" spans="1:16" x14ac:dyDescent="0.3">
      <c r="A84" s="4" t="s">
        <v>967</v>
      </c>
      <c r="B84" s="9">
        <v>35</v>
      </c>
      <c r="C84" s="9">
        <v>1062.5999999999999</v>
      </c>
      <c r="G84" s="6" t="s">
        <v>19</v>
      </c>
      <c r="H84" s="6" t="s">
        <v>55</v>
      </c>
      <c r="I84">
        <f>B83</f>
        <v>9</v>
      </c>
      <c r="N84" s="6" t="s">
        <v>19</v>
      </c>
      <c r="O84" s="6" t="s">
        <v>55</v>
      </c>
      <c r="P84" s="9">
        <v>37784.900000000016</v>
      </c>
    </row>
    <row r="85" spans="1:16" x14ac:dyDescent="0.3">
      <c r="A85" s="4" t="s">
        <v>84</v>
      </c>
      <c r="B85" s="9">
        <v>12</v>
      </c>
      <c r="C85" s="9">
        <v>326.20000000000005</v>
      </c>
      <c r="G85" s="7" t="s">
        <v>19</v>
      </c>
      <c r="H85" s="7" t="s">
        <v>33</v>
      </c>
      <c r="I85">
        <f>B84</f>
        <v>35</v>
      </c>
      <c r="N85" s="6" t="s">
        <v>19</v>
      </c>
      <c r="O85" s="6" t="s">
        <v>28</v>
      </c>
      <c r="P85" s="9">
        <v>37449.000000000007</v>
      </c>
    </row>
    <row r="86" spans="1:16" x14ac:dyDescent="0.3">
      <c r="A86" s="4" t="s">
        <v>1383</v>
      </c>
      <c r="B86" s="9">
        <v>4</v>
      </c>
      <c r="C86" s="9">
        <v>167.5</v>
      </c>
      <c r="G86" s="6" t="s">
        <v>19</v>
      </c>
      <c r="H86" s="6" t="s">
        <v>20</v>
      </c>
      <c r="I86">
        <f>B85</f>
        <v>12</v>
      </c>
      <c r="N86" s="6" t="s">
        <v>19</v>
      </c>
      <c r="O86" s="6" t="s">
        <v>59</v>
      </c>
      <c r="P86" s="9">
        <v>31884.999999999996</v>
      </c>
    </row>
    <row r="87" spans="1:16" x14ac:dyDescent="0.3">
      <c r="A87" s="4" t="s">
        <v>24</v>
      </c>
      <c r="B87" s="9">
        <v>341</v>
      </c>
      <c r="C87" s="9">
        <v>16168.7</v>
      </c>
      <c r="G87" s="6" t="s">
        <v>19</v>
      </c>
      <c r="H87" s="6" t="s">
        <v>33</v>
      </c>
      <c r="I87">
        <f>B86</f>
        <v>4</v>
      </c>
      <c r="N87" s="6" t="s">
        <v>19</v>
      </c>
      <c r="O87" s="6" t="s">
        <v>110</v>
      </c>
      <c r="P87" s="9">
        <v>21911.9</v>
      </c>
    </row>
    <row r="88" spans="1:16" x14ac:dyDescent="0.3">
      <c r="A88" s="4" t="s">
        <v>2204</v>
      </c>
      <c r="B88" s="9">
        <v>13</v>
      </c>
      <c r="C88" s="9">
        <v>322.40000000000003</v>
      </c>
      <c r="G88" s="7" t="s">
        <v>19</v>
      </c>
      <c r="H88" s="7" t="s">
        <v>33</v>
      </c>
      <c r="I88">
        <f>B87</f>
        <v>341</v>
      </c>
      <c r="N88" s="6" t="s">
        <v>19</v>
      </c>
      <c r="O88" s="6" t="s">
        <v>79</v>
      </c>
      <c r="P88" s="9">
        <v>20988.9</v>
      </c>
    </row>
    <row r="89" spans="1:16" x14ac:dyDescent="0.3">
      <c r="A89" s="4" t="s">
        <v>437</v>
      </c>
      <c r="B89" s="9">
        <v>31</v>
      </c>
      <c r="C89" s="9">
        <v>2092.8000000000002</v>
      </c>
      <c r="G89" s="6" t="s">
        <v>19</v>
      </c>
      <c r="H89" s="6" t="s">
        <v>33</v>
      </c>
      <c r="I89">
        <f>B88</f>
        <v>13</v>
      </c>
      <c r="N89" s="7" t="s">
        <v>19</v>
      </c>
      <c r="O89" s="7" t="s">
        <v>86</v>
      </c>
      <c r="P89" s="9">
        <v>20939.600000000002</v>
      </c>
    </row>
    <row r="90" spans="1:16" x14ac:dyDescent="0.3">
      <c r="A90" s="4" t="s">
        <v>28</v>
      </c>
      <c r="B90" s="9">
        <v>279</v>
      </c>
      <c r="C90" s="9">
        <v>12662.500000000002</v>
      </c>
      <c r="G90" s="7" t="s">
        <v>19</v>
      </c>
      <c r="H90" s="7" t="s">
        <v>33</v>
      </c>
      <c r="I90">
        <f>B89</f>
        <v>31</v>
      </c>
      <c r="N90" s="7" t="s">
        <v>19</v>
      </c>
      <c r="O90" s="7" t="s">
        <v>33</v>
      </c>
      <c r="P90" s="9">
        <v>16172.000000000005</v>
      </c>
    </row>
    <row r="91" spans="1:16" x14ac:dyDescent="0.3">
      <c r="A91" s="4" t="s">
        <v>208</v>
      </c>
      <c r="B91" s="9">
        <v>9</v>
      </c>
      <c r="C91" s="9">
        <v>343.2</v>
      </c>
      <c r="G91" s="6" t="s">
        <v>19</v>
      </c>
      <c r="H91" s="6" t="s">
        <v>77</v>
      </c>
      <c r="I91">
        <f>B90</f>
        <v>279</v>
      </c>
      <c r="N91" s="7" t="s">
        <v>19</v>
      </c>
      <c r="O91" s="7" t="s">
        <v>33</v>
      </c>
      <c r="P91" s="9">
        <v>16168.7</v>
      </c>
    </row>
    <row r="92" spans="1:16" x14ac:dyDescent="0.3">
      <c r="A92" s="4" t="s">
        <v>587</v>
      </c>
      <c r="B92" s="9">
        <v>49</v>
      </c>
      <c r="C92" s="9">
        <v>2188.2999999999997</v>
      </c>
      <c r="G92" s="7" t="s">
        <v>19</v>
      </c>
      <c r="H92" s="7" t="s">
        <v>33</v>
      </c>
      <c r="I92">
        <f>B91</f>
        <v>9</v>
      </c>
      <c r="N92" s="6" t="s">
        <v>19</v>
      </c>
      <c r="O92" s="6" t="s">
        <v>77</v>
      </c>
      <c r="P92" s="9">
        <v>12662.500000000002</v>
      </c>
    </row>
    <row r="93" spans="1:16" x14ac:dyDescent="0.3">
      <c r="A93" s="4" t="s">
        <v>331</v>
      </c>
      <c r="B93" s="9">
        <v>59</v>
      </c>
      <c r="C93" s="9">
        <v>2661.5999999999995</v>
      </c>
      <c r="G93" s="6" t="s">
        <v>19</v>
      </c>
      <c r="H93" s="6" t="s">
        <v>55</v>
      </c>
      <c r="I93">
        <f>B92</f>
        <v>49</v>
      </c>
      <c r="N93" s="7" t="s">
        <v>19</v>
      </c>
      <c r="O93" s="7" t="s">
        <v>82</v>
      </c>
      <c r="P93" s="9">
        <v>11354.199999999993</v>
      </c>
    </row>
    <row r="94" spans="1:16" x14ac:dyDescent="0.3">
      <c r="A94" s="4" t="s">
        <v>86</v>
      </c>
      <c r="B94" s="9">
        <v>8</v>
      </c>
      <c r="C94" s="9">
        <v>887.5</v>
      </c>
      <c r="G94" s="7" t="s">
        <v>19</v>
      </c>
      <c r="H94" s="7" t="s">
        <v>108</v>
      </c>
      <c r="I94">
        <f>B93</f>
        <v>59</v>
      </c>
      <c r="N94" s="7" t="s">
        <v>19</v>
      </c>
      <c r="O94" s="7" t="s">
        <v>110</v>
      </c>
      <c r="P94" s="9">
        <v>10185.899999999996</v>
      </c>
    </row>
    <row r="95" spans="1:16" x14ac:dyDescent="0.3">
      <c r="A95" s="4" t="s">
        <v>147</v>
      </c>
      <c r="B95" s="9">
        <v>222</v>
      </c>
      <c r="C95" s="9">
        <v>11354.199999999993</v>
      </c>
      <c r="G95" s="7" t="s">
        <v>19</v>
      </c>
      <c r="H95" s="7" t="s">
        <v>33</v>
      </c>
      <c r="I95">
        <f>B94</f>
        <v>8</v>
      </c>
      <c r="N95" s="7" t="s">
        <v>19</v>
      </c>
      <c r="O95" s="7" t="s">
        <v>103</v>
      </c>
      <c r="P95" s="9">
        <v>9869.0999999999985</v>
      </c>
    </row>
    <row r="96" spans="1:16" x14ac:dyDescent="0.3">
      <c r="A96" s="4" t="s">
        <v>334</v>
      </c>
      <c r="B96" s="9">
        <v>36</v>
      </c>
      <c r="C96" s="9">
        <v>1558.4</v>
      </c>
      <c r="G96" s="7" t="s">
        <v>19</v>
      </c>
      <c r="H96" s="7" t="s">
        <v>82</v>
      </c>
      <c r="I96">
        <f>B95</f>
        <v>222</v>
      </c>
      <c r="N96" s="7" t="s">
        <v>19</v>
      </c>
      <c r="O96" s="7" t="s">
        <v>55</v>
      </c>
      <c r="P96" s="9">
        <v>9680.399999999996</v>
      </c>
    </row>
    <row r="97" spans="1:16" x14ac:dyDescent="0.3">
      <c r="A97" s="4" t="s">
        <v>949</v>
      </c>
      <c r="B97" s="9">
        <v>30</v>
      </c>
      <c r="C97" s="9">
        <v>2223.9</v>
      </c>
      <c r="G97" s="6" t="s">
        <v>19</v>
      </c>
      <c r="H97" s="6" t="s">
        <v>33</v>
      </c>
      <c r="I97">
        <f>B96</f>
        <v>36</v>
      </c>
      <c r="N97" s="7" t="s">
        <v>19</v>
      </c>
      <c r="O97" s="7" t="s">
        <v>28</v>
      </c>
      <c r="P97" s="9">
        <v>9414.7999999999993</v>
      </c>
    </row>
    <row r="98" spans="1:16" x14ac:dyDescent="0.3">
      <c r="A98" s="4" t="s">
        <v>1426</v>
      </c>
      <c r="B98" s="9">
        <v>1</v>
      </c>
      <c r="C98" s="9">
        <v>26.2</v>
      </c>
      <c r="G98" s="6" t="s">
        <v>19</v>
      </c>
      <c r="H98" s="6" t="s">
        <v>84</v>
      </c>
      <c r="I98">
        <f>B97</f>
        <v>30</v>
      </c>
      <c r="N98" s="6" t="s">
        <v>19</v>
      </c>
      <c r="O98" s="6" t="s">
        <v>74</v>
      </c>
      <c r="P98" s="9">
        <v>7691.3</v>
      </c>
    </row>
    <row r="99" spans="1:16" x14ac:dyDescent="0.3">
      <c r="A99" s="4" t="s">
        <v>33</v>
      </c>
      <c r="B99" s="9">
        <v>3991</v>
      </c>
      <c r="C99" s="9">
        <v>215551.19999999981</v>
      </c>
      <c r="G99" s="6" t="s">
        <v>19</v>
      </c>
      <c r="H99" s="6" t="s">
        <v>33</v>
      </c>
      <c r="I99">
        <f>B98</f>
        <v>1</v>
      </c>
      <c r="N99" s="6" t="s">
        <v>19</v>
      </c>
      <c r="O99" s="6" t="s">
        <v>62</v>
      </c>
      <c r="P99" s="9">
        <v>6444.9</v>
      </c>
    </row>
    <row r="100" spans="1:16" x14ac:dyDescent="0.3">
      <c r="A100" s="4" t="s">
        <v>364</v>
      </c>
      <c r="B100" s="9">
        <v>45</v>
      </c>
      <c r="C100" s="9">
        <v>2687.3999999999996</v>
      </c>
      <c r="G100" s="7" t="s">
        <v>19</v>
      </c>
      <c r="H100" s="7" t="s">
        <v>98</v>
      </c>
      <c r="I100">
        <f>B99</f>
        <v>3991</v>
      </c>
      <c r="N100" s="6" t="s">
        <v>19</v>
      </c>
      <c r="O100" s="6" t="s">
        <v>33</v>
      </c>
      <c r="P100" s="9">
        <v>5441.2</v>
      </c>
    </row>
    <row r="101" spans="1:16" x14ac:dyDescent="0.3">
      <c r="A101" s="4" t="s">
        <v>545</v>
      </c>
      <c r="B101" s="9">
        <v>39</v>
      </c>
      <c r="C101" s="9">
        <v>1463.3000000000002</v>
      </c>
      <c r="G101" s="7" t="s">
        <v>19</v>
      </c>
      <c r="H101" s="7" t="s">
        <v>115</v>
      </c>
      <c r="I101">
        <f>B100</f>
        <v>45</v>
      </c>
      <c r="N101" s="6" t="s">
        <v>19</v>
      </c>
      <c r="O101" s="6" t="s">
        <v>33</v>
      </c>
      <c r="P101" s="9">
        <v>4334.9999999999991</v>
      </c>
    </row>
    <row r="102" spans="1:16" x14ac:dyDescent="0.3">
      <c r="A102" s="4" t="s">
        <v>416</v>
      </c>
      <c r="B102" s="9">
        <v>6</v>
      </c>
      <c r="C102" s="9">
        <v>445.79999999999995</v>
      </c>
      <c r="G102" s="7" t="s">
        <v>19</v>
      </c>
      <c r="H102" s="7" t="s">
        <v>77</v>
      </c>
      <c r="I102">
        <f>B101</f>
        <v>39</v>
      </c>
      <c r="N102" s="7" t="s">
        <v>19</v>
      </c>
      <c r="O102" s="7" t="s">
        <v>33</v>
      </c>
      <c r="P102" s="9">
        <v>3978.5</v>
      </c>
    </row>
    <row r="103" spans="1:16" x14ac:dyDescent="0.3">
      <c r="A103" s="4" t="s">
        <v>258</v>
      </c>
      <c r="B103" s="9">
        <v>9</v>
      </c>
      <c r="C103" s="9">
        <v>273.59999999999997</v>
      </c>
      <c r="G103" s="7" t="s">
        <v>19</v>
      </c>
      <c r="H103" s="7" t="s">
        <v>62</v>
      </c>
      <c r="I103">
        <f>B102</f>
        <v>6</v>
      </c>
      <c r="N103" s="6" t="s">
        <v>19</v>
      </c>
      <c r="O103" s="6" t="s">
        <v>62</v>
      </c>
      <c r="P103" s="9">
        <v>3391.1</v>
      </c>
    </row>
    <row r="104" spans="1:16" x14ac:dyDescent="0.3">
      <c r="A104" s="4" t="s">
        <v>186</v>
      </c>
      <c r="B104" s="9">
        <v>60</v>
      </c>
      <c r="C104" s="9">
        <v>2690.4</v>
      </c>
      <c r="G104" s="6" t="s">
        <v>19</v>
      </c>
      <c r="H104" s="6" t="s">
        <v>49</v>
      </c>
      <c r="I104">
        <f>B103</f>
        <v>9</v>
      </c>
      <c r="N104" s="7" t="s">
        <v>19</v>
      </c>
      <c r="O104" s="7" t="s">
        <v>62</v>
      </c>
      <c r="P104" s="9">
        <v>3175.9999999999995</v>
      </c>
    </row>
    <row r="105" spans="1:16" x14ac:dyDescent="0.3">
      <c r="A105" s="4" t="s">
        <v>392</v>
      </c>
      <c r="B105" s="9">
        <v>2</v>
      </c>
      <c r="C105" s="9">
        <v>28.4</v>
      </c>
      <c r="G105" s="6" t="s">
        <v>19</v>
      </c>
      <c r="H105" s="6" t="s">
        <v>62</v>
      </c>
      <c r="I105">
        <f>B104</f>
        <v>60</v>
      </c>
      <c r="N105" s="6" t="s">
        <v>19</v>
      </c>
      <c r="O105" s="6" t="s">
        <v>62</v>
      </c>
      <c r="P105" s="9">
        <v>2690.4</v>
      </c>
    </row>
    <row r="106" spans="1:16" x14ac:dyDescent="0.3">
      <c r="A106" s="4" t="s">
        <v>670</v>
      </c>
      <c r="B106" s="9">
        <v>4</v>
      </c>
      <c r="C106" s="9">
        <v>204.8</v>
      </c>
      <c r="G106" s="7" t="s">
        <v>19</v>
      </c>
      <c r="H106" s="7" t="s">
        <v>77</v>
      </c>
      <c r="I106">
        <f>B105</f>
        <v>2</v>
      </c>
      <c r="N106" s="7" t="s">
        <v>19</v>
      </c>
      <c r="O106" s="7" t="s">
        <v>115</v>
      </c>
      <c r="P106" s="9">
        <v>2687.3999999999996</v>
      </c>
    </row>
    <row r="107" spans="1:16" x14ac:dyDescent="0.3">
      <c r="A107" s="4" t="s">
        <v>802</v>
      </c>
      <c r="B107" s="9">
        <v>31</v>
      </c>
      <c r="C107" s="9">
        <v>1607.8999999999999</v>
      </c>
      <c r="G107" s="7" t="s">
        <v>19</v>
      </c>
      <c r="H107" s="7" t="s">
        <v>33</v>
      </c>
      <c r="I107">
        <f>B106</f>
        <v>4</v>
      </c>
      <c r="N107" s="7" t="s">
        <v>19</v>
      </c>
      <c r="O107" s="7" t="s">
        <v>108</v>
      </c>
      <c r="P107" s="9">
        <v>2661.5999999999995</v>
      </c>
    </row>
    <row r="108" spans="1:16" x14ac:dyDescent="0.3">
      <c r="A108" s="4" t="s">
        <v>98</v>
      </c>
      <c r="B108" s="9">
        <v>88</v>
      </c>
      <c r="C108" s="9">
        <v>6444.9</v>
      </c>
      <c r="G108" s="7" t="s">
        <v>19</v>
      </c>
      <c r="H108" s="7" t="s">
        <v>62</v>
      </c>
      <c r="I108">
        <f>B107</f>
        <v>31</v>
      </c>
      <c r="N108" s="6" t="s">
        <v>19</v>
      </c>
      <c r="O108" s="6" t="s">
        <v>33</v>
      </c>
      <c r="P108" s="9">
        <v>2447.5</v>
      </c>
    </row>
    <row r="109" spans="1:16" x14ac:dyDescent="0.3">
      <c r="A109" s="4" t="s">
        <v>49</v>
      </c>
      <c r="B109" s="9">
        <v>25</v>
      </c>
      <c r="C109" s="9">
        <v>1809.3</v>
      </c>
      <c r="G109" s="6" t="s">
        <v>19</v>
      </c>
      <c r="H109" s="6" t="s">
        <v>62</v>
      </c>
      <c r="I109">
        <f>B108</f>
        <v>88</v>
      </c>
      <c r="N109" s="6" t="s">
        <v>19</v>
      </c>
      <c r="O109" s="6" t="s">
        <v>84</v>
      </c>
      <c r="P109" s="9">
        <v>2223.9</v>
      </c>
    </row>
    <row r="110" spans="1:16" x14ac:dyDescent="0.3">
      <c r="A110" s="4" t="s">
        <v>188</v>
      </c>
      <c r="B110" s="9">
        <v>178</v>
      </c>
      <c r="C110" s="9">
        <v>9680.399999999996</v>
      </c>
      <c r="G110" s="7" t="s">
        <v>19</v>
      </c>
      <c r="H110" s="7" t="s">
        <v>62</v>
      </c>
      <c r="I110">
        <f>B109</f>
        <v>25</v>
      </c>
      <c r="N110" s="6" t="s">
        <v>19</v>
      </c>
      <c r="O110" s="6" t="s">
        <v>55</v>
      </c>
      <c r="P110" s="9">
        <v>2188.2999999999997</v>
      </c>
    </row>
    <row r="111" spans="1:16" x14ac:dyDescent="0.3">
      <c r="A111" s="4" t="s">
        <v>52</v>
      </c>
      <c r="B111" s="9">
        <v>141</v>
      </c>
      <c r="C111" s="9">
        <v>9414.7999999999993</v>
      </c>
      <c r="G111" s="7" t="s">
        <v>19</v>
      </c>
      <c r="H111" s="7" t="s">
        <v>55</v>
      </c>
      <c r="I111">
        <f>B110</f>
        <v>178</v>
      </c>
      <c r="N111" s="7" t="s">
        <v>19</v>
      </c>
      <c r="O111" s="7" t="s">
        <v>33</v>
      </c>
      <c r="P111" s="9">
        <v>2092.8000000000002</v>
      </c>
    </row>
    <row r="112" spans="1:16" x14ac:dyDescent="0.3">
      <c r="A112" s="4" t="s">
        <v>338</v>
      </c>
      <c r="B112" s="9">
        <v>6</v>
      </c>
      <c r="C112" s="9">
        <v>206.1</v>
      </c>
      <c r="G112" s="7" t="s">
        <v>19</v>
      </c>
      <c r="H112" s="7" t="s">
        <v>28</v>
      </c>
      <c r="I112">
        <f>B111</f>
        <v>141</v>
      </c>
      <c r="N112" s="7" t="s">
        <v>19</v>
      </c>
      <c r="O112" s="7" t="s">
        <v>62</v>
      </c>
      <c r="P112" s="9">
        <v>1809.3</v>
      </c>
    </row>
    <row r="113" spans="1:16" x14ac:dyDescent="0.3">
      <c r="A113" s="4" t="s">
        <v>158</v>
      </c>
      <c r="B113" s="9">
        <v>178</v>
      </c>
      <c r="C113" s="9">
        <v>7691.3</v>
      </c>
      <c r="G113" s="6" t="s">
        <v>19</v>
      </c>
      <c r="H113" s="6" t="s">
        <v>33</v>
      </c>
      <c r="I113">
        <f>B112</f>
        <v>6</v>
      </c>
      <c r="N113" s="7" t="s">
        <v>19</v>
      </c>
      <c r="O113" s="7" t="s">
        <v>62</v>
      </c>
      <c r="P113" s="9">
        <v>1607.8999999999999</v>
      </c>
    </row>
    <row r="114" spans="1:16" x14ac:dyDescent="0.3">
      <c r="A114" s="4" t="s">
        <v>55</v>
      </c>
      <c r="B114" s="9">
        <v>699</v>
      </c>
      <c r="C114" s="9">
        <v>37784.900000000016</v>
      </c>
      <c r="G114" s="6" t="s">
        <v>19</v>
      </c>
      <c r="H114" s="6" t="s">
        <v>74</v>
      </c>
      <c r="I114">
        <f>B113</f>
        <v>178</v>
      </c>
      <c r="N114" s="6" t="s">
        <v>19</v>
      </c>
      <c r="O114" s="6" t="s">
        <v>33</v>
      </c>
      <c r="P114" s="9">
        <v>1558.4</v>
      </c>
    </row>
    <row r="115" spans="1:16" x14ac:dyDescent="0.3">
      <c r="A115" s="4" t="s">
        <v>342</v>
      </c>
      <c r="B115" s="9">
        <v>23</v>
      </c>
      <c r="C115" s="9">
        <v>1129.7</v>
      </c>
      <c r="G115" s="6" t="s">
        <v>19</v>
      </c>
      <c r="H115" s="6" t="s">
        <v>55</v>
      </c>
      <c r="I115">
        <f>B114</f>
        <v>699</v>
      </c>
      <c r="N115" s="7" t="s">
        <v>19</v>
      </c>
      <c r="O115" s="7" t="s">
        <v>77</v>
      </c>
      <c r="P115" s="9">
        <v>1463.3000000000002</v>
      </c>
    </row>
    <row r="116" spans="1:16" x14ac:dyDescent="0.3">
      <c r="A116" s="4" t="s">
        <v>59</v>
      </c>
      <c r="B116" s="9">
        <v>356</v>
      </c>
      <c r="C116" s="9">
        <v>20988.9</v>
      </c>
      <c r="G116" s="6" t="s">
        <v>19</v>
      </c>
      <c r="H116" s="6" t="s">
        <v>33</v>
      </c>
      <c r="I116">
        <f>B115</f>
        <v>23</v>
      </c>
      <c r="N116" s="6" t="s">
        <v>19</v>
      </c>
      <c r="O116" s="6" t="s">
        <v>62</v>
      </c>
      <c r="P116" s="9">
        <v>1405</v>
      </c>
    </row>
    <row r="117" spans="1:16" x14ac:dyDescent="0.3">
      <c r="A117" s="4" t="s">
        <v>62</v>
      </c>
      <c r="B117" s="9">
        <v>1768</v>
      </c>
      <c r="C117" s="9">
        <v>98367.099999999977</v>
      </c>
      <c r="G117" s="6" t="s">
        <v>19</v>
      </c>
      <c r="H117" s="6" t="s">
        <v>79</v>
      </c>
      <c r="I117">
        <f>B116</f>
        <v>356</v>
      </c>
      <c r="N117" s="6" t="s">
        <v>19</v>
      </c>
      <c r="O117" s="6" t="s">
        <v>33</v>
      </c>
      <c r="P117" s="9">
        <v>1129.7</v>
      </c>
    </row>
    <row r="118" spans="1:16" x14ac:dyDescent="0.3">
      <c r="A118" s="4" t="s">
        <v>103</v>
      </c>
      <c r="B118" s="9">
        <v>307</v>
      </c>
      <c r="C118" s="9">
        <v>21911.9</v>
      </c>
      <c r="G118" s="6" t="s">
        <v>19</v>
      </c>
      <c r="H118" s="6" t="s">
        <v>33</v>
      </c>
      <c r="I118">
        <f>B117</f>
        <v>1768</v>
      </c>
      <c r="N118" s="7" t="s">
        <v>19</v>
      </c>
      <c r="O118" s="7" t="s">
        <v>33</v>
      </c>
      <c r="P118" s="9">
        <v>1062.5999999999999</v>
      </c>
    </row>
    <row r="119" spans="1:16" x14ac:dyDescent="0.3">
      <c r="A119" s="4" t="s">
        <v>201</v>
      </c>
      <c r="B119" s="9">
        <v>117</v>
      </c>
      <c r="C119" s="9">
        <v>5441.2</v>
      </c>
      <c r="G119" s="6" t="s">
        <v>19</v>
      </c>
      <c r="H119" s="6" t="s">
        <v>110</v>
      </c>
      <c r="I119">
        <f>B118</f>
        <v>307</v>
      </c>
      <c r="N119" s="6" t="s">
        <v>19</v>
      </c>
      <c r="O119" s="6" t="s">
        <v>113</v>
      </c>
      <c r="P119" s="9">
        <v>958.7</v>
      </c>
    </row>
    <row r="120" spans="1:16" x14ac:dyDescent="0.3">
      <c r="A120" s="4" t="s">
        <v>429</v>
      </c>
      <c r="B120" s="9">
        <v>13</v>
      </c>
      <c r="C120" s="9">
        <v>392.8</v>
      </c>
      <c r="G120" s="6" t="s">
        <v>19</v>
      </c>
      <c r="H120" s="6" t="s">
        <v>33</v>
      </c>
      <c r="I120">
        <f>B119</f>
        <v>117</v>
      </c>
      <c r="N120" s="7" t="s">
        <v>19</v>
      </c>
      <c r="O120" s="7" t="s">
        <v>33</v>
      </c>
      <c r="P120" s="9">
        <v>887.5</v>
      </c>
    </row>
    <row r="121" spans="1:16" x14ac:dyDescent="0.3">
      <c r="A121" s="4" t="s">
        <v>72</v>
      </c>
      <c r="B121" s="9">
        <v>364</v>
      </c>
      <c r="C121" s="9">
        <v>16172.000000000005</v>
      </c>
      <c r="G121" s="7" t="s">
        <v>19</v>
      </c>
      <c r="H121" s="7" t="s">
        <v>33</v>
      </c>
      <c r="I121">
        <f>B120</f>
        <v>13</v>
      </c>
      <c r="N121" s="6" t="s">
        <v>19</v>
      </c>
      <c r="O121" s="6" t="s">
        <v>55</v>
      </c>
      <c r="P121" s="9">
        <v>800.3</v>
      </c>
    </row>
    <row r="122" spans="1:16" x14ac:dyDescent="0.3">
      <c r="A122" s="4" t="s">
        <v>74</v>
      </c>
      <c r="B122" s="9">
        <v>95</v>
      </c>
      <c r="C122" s="9">
        <v>4334.9999999999991</v>
      </c>
      <c r="G122" s="7" t="s">
        <v>19</v>
      </c>
      <c r="H122" s="7" t="s">
        <v>33</v>
      </c>
      <c r="I122">
        <f>B121</f>
        <v>364</v>
      </c>
      <c r="N122" s="7" t="s">
        <v>19</v>
      </c>
      <c r="O122" s="7" t="s">
        <v>24</v>
      </c>
      <c r="P122" s="9">
        <v>615.29999999999995</v>
      </c>
    </row>
    <row r="123" spans="1:16" x14ac:dyDescent="0.3">
      <c r="A123" s="4" t="s">
        <v>77</v>
      </c>
      <c r="B123" s="9">
        <v>737</v>
      </c>
      <c r="C123" s="9">
        <v>37449.000000000007</v>
      </c>
      <c r="G123" s="6" t="s">
        <v>19</v>
      </c>
      <c r="H123" s="6" t="s">
        <v>33</v>
      </c>
      <c r="I123">
        <f>B122</f>
        <v>95</v>
      </c>
      <c r="N123" s="7" t="s">
        <v>19</v>
      </c>
      <c r="O123" s="7" t="s">
        <v>62</v>
      </c>
      <c r="P123" s="9">
        <v>445.79999999999995</v>
      </c>
    </row>
    <row r="124" spans="1:16" x14ac:dyDescent="0.3">
      <c r="A124" s="4" t="s">
        <v>309</v>
      </c>
      <c r="B124" s="9">
        <v>39</v>
      </c>
      <c r="C124" s="9">
        <v>2447.5</v>
      </c>
      <c r="G124" s="6" t="s">
        <v>19</v>
      </c>
      <c r="H124" s="6" t="s">
        <v>28</v>
      </c>
      <c r="I124">
        <f>B123</f>
        <v>737</v>
      </c>
      <c r="N124" s="7" t="s">
        <v>19</v>
      </c>
      <c r="O124" s="7" t="s">
        <v>33</v>
      </c>
      <c r="P124" s="9">
        <v>392.8</v>
      </c>
    </row>
    <row r="125" spans="1:16" x14ac:dyDescent="0.3">
      <c r="A125" s="4" t="s">
        <v>1116</v>
      </c>
      <c r="B125" s="9">
        <v>56</v>
      </c>
      <c r="C125" s="9">
        <v>3391.1</v>
      </c>
      <c r="G125" s="6" t="s">
        <v>19</v>
      </c>
      <c r="H125" s="6" t="s">
        <v>33</v>
      </c>
      <c r="I125">
        <f>B124</f>
        <v>39</v>
      </c>
      <c r="N125" s="7" t="s">
        <v>19</v>
      </c>
      <c r="O125" s="7" t="s">
        <v>33</v>
      </c>
      <c r="P125" s="9">
        <v>343.2</v>
      </c>
    </row>
    <row r="126" spans="1:16" x14ac:dyDescent="0.3">
      <c r="A126" s="4" t="s">
        <v>700</v>
      </c>
      <c r="B126" s="9">
        <v>2</v>
      </c>
      <c r="C126" s="9">
        <v>30.8</v>
      </c>
      <c r="G126" s="6" t="s">
        <v>19</v>
      </c>
      <c r="H126" s="6" t="s">
        <v>62</v>
      </c>
      <c r="I126">
        <f>B125</f>
        <v>56</v>
      </c>
      <c r="N126" s="6" t="s">
        <v>19</v>
      </c>
      <c r="O126" s="6" t="s">
        <v>72</v>
      </c>
      <c r="P126" s="9">
        <v>332.3</v>
      </c>
    </row>
    <row r="127" spans="1:16" x14ac:dyDescent="0.3">
      <c r="A127" s="4" t="s">
        <v>268</v>
      </c>
      <c r="B127" s="9">
        <v>8</v>
      </c>
      <c r="C127" s="9">
        <v>332.3</v>
      </c>
      <c r="G127" s="7" t="s">
        <v>19</v>
      </c>
      <c r="H127" s="7" t="s">
        <v>52</v>
      </c>
      <c r="I127">
        <f>B126</f>
        <v>2</v>
      </c>
      <c r="N127" s="6" t="s">
        <v>19</v>
      </c>
      <c r="O127" s="6" t="s">
        <v>20</v>
      </c>
      <c r="P127" s="9">
        <v>326.20000000000005</v>
      </c>
    </row>
    <row r="128" spans="1:16" x14ac:dyDescent="0.3">
      <c r="A128" s="4" t="s">
        <v>377</v>
      </c>
      <c r="B128" s="9">
        <v>52</v>
      </c>
      <c r="C128" s="9">
        <v>3175.9999999999995</v>
      </c>
      <c r="G128" s="6" t="s">
        <v>19</v>
      </c>
      <c r="H128" s="6" t="s">
        <v>72</v>
      </c>
      <c r="I128">
        <f>B127</f>
        <v>8</v>
      </c>
      <c r="N128" s="7" t="s">
        <v>19</v>
      </c>
      <c r="O128" s="7" t="s">
        <v>33</v>
      </c>
      <c r="P128" s="9">
        <v>323</v>
      </c>
    </row>
    <row r="129" spans="1:16" x14ac:dyDescent="0.3">
      <c r="A129" s="4" t="s">
        <v>108</v>
      </c>
      <c r="B129" s="9">
        <v>295</v>
      </c>
      <c r="C129" s="9">
        <v>20939.600000000002</v>
      </c>
      <c r="G129" s="7" t="s">
        <v>19</v>
      </c>
      <c r="H129" s="7" t="s">
        <v>62</v>
      </c>
      <c r="I129">
        <f>B128</f>
        <v>52</v>
      </c>
      <c r="N129" s="6" t="s">
        <v>19</v>
      </c>
      <c r="O129" s="6" t="s">
        <v>33</v>
      </c>
      <c r="P129" s="9">
        <v>322.40000000000003</v>
      </c>
    </row>
    <row r="130" spans="1:16" x14ac:dyDescent="0.3">
      <c r="A130" s="4" t="s">
        <v>110</v>
      </c>
      <c r="B130" s="9">
        <v>195</v>
      </c>
      <c r="C130" s="9">
        <v>10185.899999999996</v>
      </c>
      <c r="G130" s="7" t="s">
        <v>19</v>
      </c>
      <c r="H130" s="7" t="s">
        <v>86</v>
      </c>
      <c r="I130">
        <f>B129</f>
        <v>295</v>
      </c>
      <c r="N130" s="7" t="s">
        <v>19</v>
      </c>
      <c r="O130" s="7" t="s">
        <v>59</v>
      </c>
      <c r="P130" s="9">
        <v>285</v>
      </c>
    </row>
    <row r="131" spans="1:16" x14ac:dyDescent="0.3">
      <c r="A131" s="4" t="s">
        <v>292</v>
      </c>
      <c r="B131" s="9">
        <v>20</v>
      </c>
      <c r="C131" s="9">
        <v>958.7</v>
      </c>
      <c r="G131" s="7" t="s">
        <v>19</v>
      </c>
      <c r="H131" s="7" t="s">
        <v>110</v>
      </c>
      <c r="I131">
        <f>B130</f>
        <v>195</v>
      </c>
      <c r="N131" s="6" t="s">
        <v>19</v>
      </c>
      <c r="O131" s="6" t="s">
        <v>49</v>
      </c>
      <c r="P131" s="9">
        <v>273.59999999999997</v>
      </c>
    </row>
    <row r="132" spans="1:16" x14ac:dyDescent="0.3">
      <c r="A132" s="4" t="s">
        <v>79</v>
      </c>
      <c r="B132" s="9">
        <v>6</v>
      </c>
      <c r="C132" s="9">
        <v>323</v>
      </c>
      <c r="G132" s="6" t="s">
        <v>19</v>
      </c>
      <c r="H132" s="6" t="s">
        <v>113</v>
      </c>
      <c r="I132">
        <f>B131</f>
        <v>20</v>
      </c>
      <c r="N132" s="6" t="s">
        <v>19</v>
      </c>
      <c r="O132" s="6" t="s">
        <v>33</v>
      </c>
      <c r="P132" s="9">
        <v>206.1</v>
      </c>
    </row>
    <row r="133" spans="1:16" x14ac:dyDescent="0.3">
      <c r="A133" s="4" t="s">
        <v>608</v>
      </c>
      <c r="B133" s="9">
        <v>5</v>
      </c>
      <c r="C133" s="9">
        <v>167.70000000000002</v>
      </c>
      <c r="G133" s="7" t="s">
        <v>19</v>
      </c>
      <c r="H133" s="7" t="s">
        <v>33</v>
      </c>
      <c r="I133">
        <f>B132</f>
        <v>6</v>
      </c>
      <c r="N133" s="7" t="s">
        <v>19</v>
      </c>
      <c r="O133" s="7" t="s">
        <v>33</v>
      </c>
      <c r="P133" s="9">
        <v>204.8</v>
      </c>
    </row>
    <row r="134" spans="1:16" x14ac:dyDescent="0.3">
      <c r="A134" s="4" t="s">
        <v>113</v>
      </c>
      <c r="B134" s="9">
        <v>94</v>
      </c>
      <c r="C134" s="9">
        <v>3978.5</v>
      </c>
      <c r="G134" s="7" t="s">
        <v>19</v>
      </c>
      <c r="H134" s="7" t="s">
        <v>72</v>
      </c>
      <c r="I134">
        <f>B133</f>
        <v>5</v>
      </c>
      <c r="N134" s="7" t="s">
        <v>19</v>
      </c>
      <c r="O134" s="7" t="s">
        <v>72</v>
      </c>
      <c r="P134" s="9">
        <v>167.70000000000002</v>
      </c>
    </row>
    <row r="135" spans="1:16" x14ac:dyDescent="0.3">
      <c r="A135" s="4" t="s">
        <v>997</v>
      </c>
      <c r="B135" s="9">
        <v>28</v>
      </c>
      <c r="C135" s="9">
        <v>1405</v>
      </c>
      <c r="G135" s="7" t="s">
        <v>19</v>
      </c>
      <c r="H135" s="7" t="s">
        <v>33</v>
      </c>
      <c r="I135">
        <f>B134</f>
        <v>94</v>
      </c>
      <c r="N135" s="6" t="s">
        <v>19</v>
      </c>
      <c r="O135" s="6" t="s">
        <v>33</v>
      </c>
      <c r="P135" s="9">
        <v>167.5</v>
      </c>
    </row>
    <row r="136" spans="1:16" x14ac:dyDescent="0.3">
      <c r="A136" s="4" t="s">
        <v>82</v>
      </c>
      <c r="B136" s="9">
        <v>179</v>
      </c>
      <c r="C136" s="9">
        <v>9869.0999999999985</v>
      </c>
      <c r="G136" s="6" t="s">
        <v>19</v>
      </c>
      <c r="H136" s="6" t="s">
        <v>62</v>
      </c>
      <c r="I136">
        <f>B135</f>
        <v>28</v>
      </c>
      <c r="N136" s="7" t="s">
        <v>19</v>
      </c>
      <c r="O136" s="7" t="s">
        <v>52</v>
      </c>
      <c r="P136" s="9">
        <v>30.8</v>
      </c>
    </row>
    <row r="137" spans="1:16" x14ac:dyDescent="0.3">
      <c r="A137" s="4" t="s">
        <v>243</v>
      </c>
      <c r="B137" s="9">
        <v>15</v>
      </c>
      <c r="C137" s="9">
        <v>615.29999999999995</v>
      </c>
      <c r="G137" s="7" t="s">
        <v>19</v>
      </c>
      <c r="H137" s="7" t="s">
        <v>103</v>
      </c>
      <c r="I137">
        <f>B136</f>
        <v>179</v>
      </c>
      <c r="N137" s="7" t="s">
        <v>19</v>
      </c>
      <c r="O137" s="7" t="s">
        <v>77</v>
      </c>
      <c r="P137" s="9">
        <v>28.4</v>
      </c>
    </row>
    <row r="138" spans="1:16" x14ac:dyDescent="0.3">
      <c r="A138" s="4" t="s">
        <v>1911</v>
      </c>
      <c r="B138" s="9">
        <v>3</v>
      </c>
      <c r="C138" s="9">
        <v>285</v>
      </c>
      <c r="G138" s="7" t="s">
        <v>19</v>
      </c>
      <c r="H138" s="7" t="s">
        <v>24</v>
      </c>
      <c r="I138">
        <f>B137</f>
        <v>15</v>
      </c>
      <c r="N138" s="6" t="s">
        <v>19</v>
      </c>
      <c r="O138" s="6" t="s">
        <v>33</v>
      </c>
      <c r="P138" s="9">
        <v>26.2</v>
      </c>
    </row>
    <row r="139" spans="1:16" x14ac:dyDescent="0.3">
      <c r="A139" s="11" t="s">
        <v>2527</v>
      </c>
      <c r="B139" s="9">
        <v>11997</v>
      </c>
      <c r="C139" s="9">
        <v>649019.79999999981</v>
      </c>
      <c r="G139" s="7" t="s">
        <v>19</v>
      </c>
      <c r="H139" s="7" t="s">
        <v>59</v>
      </c>
      <c r="I139">
        <f>B138</f>
        <v>3</v>
      </c>
      <c r="N139" s="6" t="s">
        <v>19</v>
      </c>
      <c r="O139" s="6" t="s">
        <v>33</v>
      </c>
      <c r="P139" s="9">
        <v>10.9</v>
      </c>
    </row>
    <row r="140" spans="1:16" x14ac:dyDescent="0.3">
      <c r="G140" s="6" t="s">
        <v>19</v>
      </c>
      <c r="H140" s="6" t="s">
        <v>33</v>
      </c>
      <c r="N140" s="6" t="s">
        <v>19</v>
      </c>
      <c r="O140" s="6" t="s">
        <v>33</v>
      </c>
    </row>
    <row r="141" spans="1:16" x14ac:dyDescent="0.3">
      <c r="G141" s="7" t="s">
        <v>19</v>
      </c>
      <c r="H141" s="7" t="s">
        <v>33</v>
      </c>
      <c r="N141" s="7" t="s">
        <v>19</v>
      </c>
      <c r="O141" s="7" t="s">
        <v>33</v>
      </c>
    </row>
    <row r="142" spans="1:16" x14ac:dyDescent="0.3">
      <c r="G142" s="6" t="s">
        <v>19</v>
      </c>
      <c r="H142" s="6" t="s">
        <v>33</v>
      </c>
      <c r="N142" s="6" t="s">
        <v>19</v>
      </c>
      <c r="O142" s="6" t="s">
        <v>33</v>
      </c>
    </row>
    <row r="143" spans="1:16" x14ac:dyDescent="0.3">
      <c r="G143" s="7" t="s">
        <v>19</v>
      </c>
      <c r="H143" s="7" t="s">
        <v>33</v>
      </c>
      <c r="N143" s="7" t="s">
        <v>19</v>
      </c>
      <c r="O143" s="7" t="s">
        <v>33</v>
      </c>
    </row>
    <row r="144" spans="1:16" x14ac:dyDescent="0.3">
      <c r="A144" s="10" t="s">
        <v>2526</v>
      </c>
      <c r="B144" t="s">
        <v>2518</v>
      </c>
      <c r="G144" s="6" t="s">
        <v>19</v>
      </c>
      <c r="H144" s="6" t="s">
        <v>33</v>
      </c>
      <c r="N144" s="6" t="s">
        <v>19</v>
      </c>
      <c r="O144" s="6" t="s">
        <v>33</v>
      </c>
    </row>
    <row r="145" spans="1:15" x14ac:dyDescent="0.3">
      <c r="A145" s="11">
        <v>0</v>
      </c>
      <c r="B145" s="9">
        <v>175</v>
      </c>
      <c r="G145" s="7" t="s">
        <v>19</v>
      </c>
      <c r="H145" s="7" t="s">
        <v>33</v>
      </c>
      <c r="N145" s="7" t="s">
        <v>19</v>
      </c>
      <c r="O145" s="7" t="s">
        <v>33</v>
      </c>
    </row>
    <row r="146" spans="1:15" x14ac:dyDescent="0.3">
      <c r="A146" s="11">
        <v>1</v>
      </c>
      <c r="B146" s="9">
        <v>888</v>
      </c>
      <c r="G146" s="6" t="s">
        <v>19</v>
      </c>
      <c r="H146" s="6" t="s">
        <v>33</v>
      </c>
      <c r="N146" s="6" t="s">
        <v>19</v>
      </c>
      <c r="O146" s="6" t="s">
        <v>33</v>
      </c>
    </row>
    <row r="147" spans="1:15" x14ac:dyDescent="0.3">
      <c r="A147" s="11">
        <v>2</v>
      </c>
      <c r="B147" s="9">
        <v>538</v>
      </c>
      <c r="G147" s="7" t="s">
        <v>19</v>
      </c>
      <c r="H147" s="7" t="s">
        <v>33</v>
      </c>
      <c r="N147" s="7" t="s">
        <v>19</v>
      </c>
      <c r="O147" s="7" t="s">
        <v>33</v>
      </c>
    </row>
    <row r="148" spans="1:15" x14ac:dyDescent="0.3">
      <c r="A148" s="11">
        <v>3</v>
      </c>
      <c r="B148" s="9">
        <v>344</v>
      </c>
      <c r="G148" s="6" t="s">
        <v>19</v>
      </c>
      <c r="H148" s="6" t="s">
        <v>55</v>
      </c>
      <c r="N148" s="6" t="s">
        <v>19</v>
      </c>
      <c r="O148" s="6" t="s">
        <v>55</v>
      </c>
    </row>
    <row r="149" spans="1:15" x14ac:dyDescent="0.3">
      <c r="A149" s="11">
        <v>4</v>
      </c>
      <c r="B149" s="9">
        <v>200</v>
      </c>
      <c r="G149" s="7" t="s">
        <v>19</v>
      </c>
      <c r="H149" s="7" t="s">
        <v>55</v>
      </c>
      <c r="N149" s="7" t="s">
        <v>19</v>
      </c>
      <c r="O149" s="7" t="s">
        <v>55</v>
      </c>
    </row>
    <row r="150" spans="1:15" x14ac:dyDescent="0.3">
      <c r="A150" s="11">
        <v>5</v>
      </c>
      <c r="B150" s="9">
        <v>94</v>
      </c>
      <c r="G150" s="6" t="s">
        <v>19</v>
      </c>
      <c r="H150" s="6" t="s">
        <v>55</v>
      </c>
      <c r="N150" s="6" t="s">
        <v>19</v>
      </c>
      <c r="O150" s="6" t="s">
        <v>55</v>
      </c>
    </row>
    <row r="151" spans="1:15" x14ac:dyDescent="0.3">
      <c r="A151" s="11">
        <v>6</v>
      </c>
      <c r="B151" s="9">
        <v>51</v>
      </c>
      <c r="G151" s="7" t="s">
        <v>19</v>
      </c>
      <c r="H151" s="7" t="s">
        <v>55</v>
      </c>
      <c r="N151" s="7" t="s">
        <v>19</v>
      </c>
      <c r="O151" s="7" t="s">
        <v>55</v>
      </c>
    </row>
    <row r="152" spans="1:15" x14ac:dyDescent="0.3">
      <c r="A152" s="11">
        <v>7</v>
      </c>
      <c r="B152" s="9">
        <v>32</v>
      </c>
      <c r="G152" s="6" t="s">
        <v>19</v>
      </c>
      <c r="H152" s="6" t="s">
        <v>62</v>
      </c>
      <c r="N152" s="6" t="s">
        <v>19</v>
      </c>
      <c r="O152" s="6" t="s">
        <v>62</v>
      </c>
    </row>
    <row r="153" spans="1:15" x14ac:dyDescent="0.3">
      <c r="A153" s="11">
        <v>8</v>
      </c>
      <c r="B153" s="9">
        <v>23</v>
      </c>
      <c r="G153" s="7" t="s">
        <v>19</v>
      </c>
      <c r="H153" s="7" t="s">
        <v>62</v>
      </c>
      <c r="N153" s="7" t="s">
        <v>19</v>
      </c>
      <c r="O153" s="7" t="s">
        <v>62</v>
      </c>
    </row>
    <row r="154" spans="1:15" x14ac:dyDescent="0.3">
      <c r="A154" s="11">
        <v>9</v>
      </c>
      <c r="B154" s="9">
        <v>9</v>
      </c>
      <c r="G154" s="6" t="s">
        <v>19</v>
      </c>
      <c r="H154" s="6" t="s">
        <v>103</v>
      </c>
      <c r="N154" s="6" t="s">
        <v>19</v>
      </c>
      <c r="O154" s="6" t="s">
        <v>103</v>
      </c>
    </row>
    <row r="155" spans="1:15" x14ac:dyDescent="0.3">
      <c r="A155" s="11">
        <v>10</v>
      </c>
      <c r="B155" s="9">
        <v>8</v>
      </c>
      <c r="G155" s="7" t="s">
        <v>19</v>
      </c>
      <c r="H155" s="7" t="s">
        <v>72</v>
      </c>
      <c r="N155" s="7" t="s">
        <v>19</v>
      </c>
      <c r="O155" s="7" t="s">
        <v>72</v>
      </c>
    </row>
    <row r="156" spans="1:15" x14ac:dyDescent="0.3">
      <c r="A156" s="11">
        <v>11</v>
      </c>
      <c r="B156" s="9">
        <v>11</v>
      </c>
      <c r="G156" s="6" t="s">
        <v>19</v>
      </c>
      <c r="H156" s="6" t="s">
        <v>72</v>
      </c>
      <c r="N156" s="6" t="s">
        <v>19</v>
      </c>
      <c r="O156" s="6" t="s">
        <v>72</v>
      </c>
    </row>
    <row r="157" spans="1:15" x14ac:dyDescent="0.3">
      <c r="A157" s="11">
        <v>12</v>
      </c>
      <c r="B157" s="9">
        <v>4</v>
      </c>
      <c r="G157" s="7" t="s">
        <v>19</v>
      </c>
      <c r="H157" s="7" t="s">
        <v>77</v>
      </c>
      <c r="N157" s="7" t="s">
        <v>19</v>
      </c>
      <c r="O157" s="7" t="s">
        <v>77</v>
      </c>
    </row>
    <row r="158" spans="1:15" x14ac:dyDescent="0.3">
      <c r="A158" s="11">
        <v>13</v>
      </c>
      <c r="B158" s="9">
        <v>10</v>
      </c>
      <c r="G158" s="6" t="s">
        <v>19</v>
      </c>
      <c r="H158" s="6" t="s">
        <v>110</v>
      </c>
      <c r="N158" s="6" t="s">
        <v>19</v>
      </c>
      <c r="O158" s="6" t="s">
        <v>110</v>
      </c>
    </row>
    <row r="159" spans="1:15" x14ac:dyDescent="0.3">
      <c r="A159" s="11">
        <v>14</v>
      </c>
      <c r="B159" s="9">
        <v>13</v>
      </c>
      <c r="G159" s="7" t="s">
        <v>19</v>
      </c>
      <c r="H159" s="7" t="s">
        <v>110</v>
      </c>
      <c r="N159" s="7" t="s">
        <v>19</v>
      </c>
      <c r="O159" s="7" t="s">
        <v>110</v>
      </c>
    </row>
    <row r="160" spans="1:15" x14ac:dyDescent="0.3">
      <c r="A160" s="11" t="s">
        <v>2527</v>
      </c>
      <c r="B160" s="9">
        <v>2400</v>
      </c>
      <c r="G160" s="6" t="s">
        <v>19</v>
      </c>
      <c r="H160" s="6" t="s">
        <v>82</v>
      </c>
      <c r="N160" s="6" t="s">
        <v>19</v>
      </c>
      <c r="O160" s="6" t="s">
        <v>82</v>
      </c>
    </row>
    <row r="161" spans="1:15" x14ac:dyDescent="0.3">
      <c r="G161" s="7" t="s">
        <v>19</v>
      </c>
      <c r="H161" s="7" t="s">
        <v>115</v>
      </c>
      <c r="N161" s="7" t="s">
        <v>19</v>
      </c>
      <c r="O161" s="7" t="s">
        <v>115</v>
      </c>
    </row>
    <row r="162" spans="1:15" x14ac:dyDescent="0.3">
      <c r="G162" s="6" t="s">
        <v>19</v>
      </c>
      <c r="H162" s="6" t="s">
        <v>147</v>
      </c>
      <c r="N162" s="6" t="s">
        <v>19</v>
      </c>
      <c r="O162" s="6" t="s">
        <v>147</v>
      </c>
    </row>
    <row r="163" spans="1:15" x14ac:dyDescent="0.3">
      <c r="A163" s="10" t="s">
        <v>2518</v>
      </c>
      <c r="B163" s="10" t="s">
        <v>2528</v>
      </c>
      <c r="G163" s="7" t="s">
        <v>19</v>
      </c>
      <c r="H163" s="7" t="s">
        <v>33</v>
      </c>
      <c r="N163" s="7" t="s">
        <v>19</v>
      </c>
      <c r="O163" s="7" t="s">
        <v>33</v>
      </c>
    </row>
    <row r="164" spans="1:15" x14ac:dyDescent="0.3">
      <c r="B164" t="s">
        <v>2537</v>
      </c>
      <c r="C164" t="s">
        <v>2538</v>
      </c>
      <c r="D164" t="s">
        <v>2539</v>
      </c>
      <c r="E164" t="s">
        <v>2527</v>
      </c>
      <c r="G164" s="6" t="s">
        <v>19</v>
      </c>
      <c r="H164" s="6" t="s">
        <v>33</v>
      </c>
      <c r="N164" s="6" t="s">
        <v>19</v>
      </c>
      <c r="O164" s="6" t="s">
        <v>33</v>
      </c>
    </row>
    <row r="165" spans="1:15" x14ac:dyDescent="0.3">
      <c r="G165" s="7" t="s">
        <v>19</v>
      </c>
      <c r="H165" s="7" t="s">
        <v>33</v>
      </c>
      <c r="N165" s="7" t="s">
        <v>19</v>
      </c>
      <c r="O165" s="7" t="s">
        <v>33</v>
      </c>
    </row>
    <row r="166" spans="1:15" x14ac:dyDescent="0.3">
      <c r="A166" s="10" t="s">
        <v>2526</v>
      </c>
      <c r="G166" s="6" t="s">
        <v>19</v>
      </c>
      <c r="H166" s="6" t="s">
        <v>33</v>
      </c>
      <c r="N166" s="6" t="s">
        <v>19</v>
      </c>
      <c r="O166" s="6" t="s">
        <v>33</v>
      </c>
    </row>
    <row r="167" spans="1:15" x14ac:dyDescent="0.3">
      <c r="A167" s="11">
        <v>1</v>
      </c>
      <c r="B167" s="9">
        <v>7</v>
      </c>
      <c r="C167" s="9">
        <v>8</v>
      </c>
      <c r="D167" s="9">
        <v>6</v>
      </c>
      <c r="E167" s="9">
        <v>21</v>
      </c>
      <c r="G167" s="7" t="s">
        <v>19</v>
      </c>
      <c r="H167" s="7" t="s">
        <v>33</v>
      </c>
      <c r="N167" s="7" t="s">
        <v>19</v>
      </c>
      <c r="O167" s="7" t="s">
        <v>33</v>
      </c>
    </row>
    <row r="168" spans="1:15" x14ac:dyDescent="0.3">
      <c r="A168" s="11">
        <v>2</v>
      </c>
      <c r="B168" s="9">
        <v>37</v>
      </c>
      <c r="C168" s="9">
        <v>51</v>
      </c>
      <c r="D168" s="9">
        <v>39</v>
      </c>
      <c r="E168" s="9">
        <v>127</v>
      </c>
      <c r="G168" s="6" t="s">
        <v>19</v>
      </c>
      <c r="H168" s="6" t="s">
        <v>33</v>
      </c>
      <c r="N168" s="6" t="s">
        <v>19</v>
      </c>
      <c r="O168" s="6" t="s">
        <v>33</v>
      </c>
    </row>
    <row r="169" spans="1:15" x14ac:dyDescent="0.3">
      <c r="A169" s="11">
        <v>3</v>
      </c>
      <c r="B169" s="9">
        <v>150</v>
      </c>
      <c r="C169" s="9">
        <v>182</v>
      </c>
      <c r="D169" s="9">
        <v>163</v>
      </c>
      <c r="E169" s="9">
        <v>495</v>
      </c>
      <c r="G169" s="7" t="s">
        <v>19</v>
      </c>
      <c r="H169" s="7" t="s">
        <v>33</v>
      </c>
      <c r="N169" s="7" t="s">
        <v>19</v>
      </c>
      <c r="O169" s="7" t="s">
        <v>33</v>
      </c>
    </row>
    <row r="170" spans="1:15" x14ac:dyDescent="0.3">
      <c r="A170" s="11">
        <v>4</v>
      </c>
      <c r="B170" s="9">
        <v>312</v>
      </c>
      <c r="C170" s="9">
        <v>373</v>
      </c>
      <c r="D170" s="9">
        <v>351</v>
      </c>
      <c r="E170" s="9">
        <v>1036</v>
      </c>
      <c r="G170" s="6" t="s">
        <v>19</v>
      </c>
      <c r="H170" s="6" t="s">
        <v>33</v>
      </c>
      <c r="N170" s="6" t="s">
        <v>19</v>
      </c>
      <c r="O170" s="6" t="s">
        <v>33</v>
      </c>
    </row>
    <row r="171" spans="1:15" x14ac:dyDescent="0.3">
      <c r="A171" s="11">
        <v>5</v>
      </c>
      <c r="B171" s="9">
        <v>224</v>
      </c>
      <c r="C171" s="9">
        <v>247</v>
      </c>
      <c r="D171" s="9">
        <v>250</v>
      </c>
      <c r="E171" s="9">
        <v>721</v>
      </c>
      <c r="G171" s="7" t="s">
        <v>19</v>
      </c>
      <c r="H171" s="7" t="s">
        <v>33</v>
      </c>
      <c r="N171" s="7" t="s">
        <v>19</v>
      </c>
      <c r="O171" s="7" t="s">
        <v>33</v>
      </c>
    </row>
    <row r="172" spans="1:15" x14ac:dyDescent="0.3">
      <c r="A172" s="11" t="s">
        <v>2527</v>
      </c>
      <c r="B172" s="9">
        <v>730</v>
      </c>
      <c r="C172" s="9">
        <v>861</v>
      </c>
      <c r="D172" s="9">
        <v>809</v>
      </c>
      <c r="E172" s="9">
        <v>2400</v>
      </c>
      <c r="G172" s="6" t="s">
        <v>19</v>
      </c>
      <c r="H172" s="6" t="s">
        <v>158</v>
      </c>
      <c r="N172" s="6" t="s">
        <v>19</v>
      </c>
      <c r="O172" s="6" t="s">
        <v>158</v>
      </c>
    </row>
    <row r="173" spans="1:15" x14ac:dyDescent="0.3">
      <c r="G173" s="7" t="s">
        <v>19</v>
      </c>
      <c r="H173" s="7" t="s">
        <v>158</v>
      </c>
      <c r="N173" s="7" t="s">
        <v>19</v>
      </c>
      <c r="O173" s="7" t="s">
        <v>158</v>
      </c>
    </row>
    <row r="174" spans="1:15" x14ac:dyDescent="0.3">
      <c r="G174" s="6" t="s">
        <v>19</v>
      </c>
      <c r="H174" s="6" t="s">
        <v>55</v>
      </c>
      <c r="N174" s="6" t="s">
        <v>19</v>
      </c>
      <c r="O174" s="6" t="s">
        <v>55</v>
      </c>
    </row>
    <row r="175" spans="1:15" x14ac:dyDescent="0.3">
      <c r="G175" s="7" t="s">
        <v>19</v>
      </c>
      <c r="H175" s="7" t="s">
        <v>77</v>
      </c>
      <c r="N175" s="7" t="s">
        <v>19</v>
      </c>
      <c r="O175" s="7" t="s">
        <v>77</v>
      </c>
    </row>
    <row r="176" spans="1:15" x14ac:dyDescent="0.3">
      <c r="G176" s="6" t="s">
        <v>19</v>
      </c>
      <c r="H176" s="6" t="s">
        <v>115</v>
      </c>
      <c r="N176" s="6" t="s">
        <v>19</v>
      </c>
      <c r="O176" s="6" t="s">
        <v>115</v>
      </c>
    </row>
    <row r="177" spans="7:15" x14ac:dyDescent="0.3">
      <c r="G177" s="7" t="s">
        <v>19</v>
      </c>
      <c r="H177" s="7" t="s">
        <v>24</v>
      </c>
      <c r="N177" s="7" t="s">
        <v>19</v>
      </c>
      <c r="O177" s="7" t="s">
        <v>24</v>
      </c>
    </row>
    <row r="178" spans="7:15" x14ac:dyDescent="0.3">
      <c r="G178" s="6" t="s">
        <v>19</v>
      </c>
      <c r="H178" s="6" t="s">
        <v>28</v>
      </c>
      <c r="N178" s="6" t="s">
        <v>19</v>
      </c>
      <c r="O178" s="6" t="s">
        <v>28</v>
      </c>
    </row>
    <row r="179" spans="7:15" x14ac:dyDescent="0.3">
      <c r="G179" s="7" t="s">
        <v>19</v>
      </c>
      <c r="H179" s="7" t="s">
        <v>147</v>
      </c>
      <c r="N179" s="7" t="s">
        <v>19</v>
      </c>
      <c r="O179" s="7" t="s">
        <v>147</v>
      </c>
    </row>
    <row r="180" spans="7:15" x14ac:dyDescent="0.3">
      <c r="G180" s="6" t="s">
        <v>19</v>
      </c>
      <c r="H180" s="6" t="s">
        <v>33</v>
      </c>
      <c r="N180" s="6" t="s">
        <v>19</v>
      </c>
      <c r="O180" s="6" t="s">
        <v>33</v>
      </c>
    </row>
    <row r="181" spans="7:15" x14ac:dyDescent="0.3">
      <c r="G181" s="7" t="s">
        <v>19</v>
      </c>
      <c r="H181" s="7" t="s">
        <v>33</v>
      </c>
      <c r="N181" s="7" t="s">
        <v>19</v>
      </c>
      <c r="O181" s="7" t="s">
        <v>33</v>
      </c>
    </row>
    <row r="182" spans="7:15" x14ac:dyDescent="0.3">
      <c r="G182" s="6" t="s">
        <v>19</v>
      </c>
      <c r="H182" s="6" t="s">
        <v>33</v>
      </c>
      <c r="N182" s="6" t="s">
        <v>19</v>
      </c>
      <c r="O182" s="6" t="s">
        <v>33</v>
      </c>
    </row>
    <row r="183" spans="7:15" x14ac:dyDescent="0.3">
      <c r="G183" s="7" t="s">
        <v>19</v>
      </c>
      <c r="H183" s="7" t="s">
        <v>52</v>
      </c>
      <c r="N183" s="7" t="s">
        <v>19</v>
      </c>
      <c r="O183" s="7" t="s">
        <v>52</v>
      </c>
    </row>
    <row r="184" spans="7:15" x14ac:dyDescent="0.3">
      <c r="G184" s="6" t="s">
        <v>19</v>
      </c>
      <c r="H184" s="6" t="s">
        <v>62</v>
      </c>
      <c r="N184" s="6" t="s">
        <v>19</v>
      </c>
      <c r="O184" s="6" t="s">
        <v>62</v>
      </c>
    </row>
    <row r="185" spans="7:15" x14ac:dyDescent="0.3">
      <c r="G185" s="7" t="s">
        <v>19</v>
      </c>
      <c r="H185" s="7" t="s">
        <v>103</v>
      </c>
      <c r="N185" s="7" t="s">
        <v>19</v>
      </c>
      <c r="O185" s="7" t="s">
        <v>103</v>
      </c>
    </row>
    <row r="186" spans="7:15" x14ac:dyDescent="0.3">
      <c r="G186" s="6" t="s">
        <v>19</v>
      </c>
      <c r="H186" s="6" t="s">
        <v>77</v>
      </c>
      <c r="N186" s="6" t="s">
        <v>19</v>
      </c>
      <c r="O186" s="6" t="s">
        <v>77</v>
      </c>
    </row>
    <row r="187" spans="7:15" x14ac:dyDescent="0.3">
      <c r="G187" s="7" t="s">
        <v>19</v>
      </c>
      <c r="H187" s="7" t="s">
        <v>82</v>
      </c>
      <c r="N187" s="7" t="s">
        <v>19</v>
      </c>
      <c r="O187" s="7" t="s">
        <v>82</v>
      </c>
    </row>
    <row r="188" spans="7:15" x14ac:dyDescent="0.3">
      <c r="G188" s="6" t="s">
        <v>19</v>
      </c>
      <c r="H188" s="6" t="s">
        <v>33</v>
      </c>
      <c r="N188" s="6" t="s">
        <v>19</v>
      </c>
      <c r="O188" s="6" t="s">
        <v>33</v>
      </c>
    </row>
    <row r="189" spans="7:15" x14ac:dyDescent="0.3">
      <c r="G189" s="7" t="s">
        <v>19</v>
      </c>
      <c r="H189" s="7" t="s">
        <v>33</v>
      </c>
      <c r="N189" s="7" t="s">
        <v>19</v>
      </c>
      <c r="O189" s="7" t="s">
        <v>33</v>
      </c>
    </row>
    <row r="190" spans="7:15" x14ac:dyDescent="0.3">
      <c r="G190" s="6" t="s">
        <v>19</v>
      </c>
      <c r="H190" s="6" t="s">
        <v>33</v>
      </c>
      <c r="N190" s="6" t="s">
        <v>19</v>
      </c>
      <c r="O190" s="6" t="s">
        <v>33</v>
      </c>
    </row>
    <row r="191" spans="7:15" x14ac:dyDescent="0.3">
      <c r="G191" s="7" t="s">
        <v>19</v>
      </c>
      <c r="H191" s="7" t="s">
        <v>33</v>
      </c>
      <c r="N191" s="7" t="s">
        <v>19</v>
      </c>
      <c r="O191" s="7" t="s">
        <v>33</v>
      </c>
    </row>
    <row r="192" spans="7:15" x14ac:dyDescent="0.3">
      <c r="G192" s="6" t="s">
        <v>19</v>
      </c>
      <c r="H192" s="6" t="s">
        <v>33</v>
      </c>
      <c r="N192" s="6" t="s">
        <v>19</v>
      </c>
      <c r="O192" s="6" t="s">
        <v>33</v>
      </c>
    </row>
    <row r="193" spans="7:15" x14ac:dyDescent="0.3">
      <c r="G193" s="7" t="s">
        <v>19</v>
      </c>
      <c r="H193" s="7" t="s">
        <v>33</v>
      </c>
      <c r="N193" s="7" t="s">
        <v>19</v>
      </c>
      <c r="O193" s="7" t="s">
        <v>33</v>
      </c>
    </row>
    <row r="194" spans="7:15" x14ac:dyDescent="0.3">
      <c r="G194" s="6" t="s">
        <v>19</v>
      </c>
      <c r="H194" s="6" t="s">
        <v>33</v>
      </c>
      <c r="N194" s="6" t="s">
        <v>19</v>
      </c>
      <c r="O194" s="6" t="s">
        <v>33</v>
      </c>
    </row>
    <row r="195" spans="7:15" x14ac:dyDescent="0.3">
      <c r="G195" s="7" t="s">
        <v>19</v>
      </c>
      <c r="H195" s="7" t="s">
        <v>33</v>
      </c>
      <c r="N195" s="7" t="s">
        <v>19</v>
      </c>
      <c r="O195" s="7" t="s">
        <v>33</v>
      </c>
    </row>
    <row r="196" spans="7:15" x14ac:dyDescent="0.3">
      <c r="G196" s="6" t="s">
        <v>19</v>
      </c>
      <c r="H196" s="6" t="s">
        <v>33</v>
      </c>
      <c r="N196" s="6" t="s">
        <v>19</v>
      </c>
      <c r="O196" s="6" t="s">
        <v>33</v>
      </c>
    </row>
    <row r="197" spans="7:15" x14ac:dyDescent="0.3">
      <c r="G197" s="7" t="s">
        <v>19</v>
      </c>
      <c r="H197" s="7" t="s">
        <v>33</v>
      </c>
      <c r="N197" s="7" t="s">
        <v>19</v>
      </c>
      <c r="O197" s="7" t="s">
        <v>33</v>
      </c>
    </row>
    <row r="198" spans="7:15" x14ac:dyDescent="0.3">
      <c r="G198" s="6" t="s">
        <v>19</v>
      </c>
      <c r="H198" s="6" t="s">
        <v>186</v>
      </c>
      <c r="N198" s="6" t="s">
        <v>19</v>
      </c>
      <c r="O198" s="6" t="s">
        <v>186</v>
      </c>
    </row>
    <row r="199" spans="7:15" x14ac:dyDescent="0.3">
      <c r="G199" s="7" t="s">
        <v>19</v>
      </c>
      <c r="H199" s="7" t="s">
        <v>188</v>
      </c>
      <c r="N199" s="7" t="s">
        <v>19</v>
      </c>
      <c r="O199" s="7" t="s">
        <v>188</v>
      </c>
    </row>
    <row r="200" spans="7:15" x14ac:dyDescent="0.3">
      <c r="G200" s="6" t="s">
        <v>19</v>
      </c>
      <c r="H200" s="6" t="s">
        <v>158</v>
      </c>
      <c r="N200" s="6" t="s">
        <v>19</v>
      </c>
      <c r="O200" s="6" t="s">
        <v>158</v>
      </c>
    </row>
    <row r="201" spans="7:15" x14ac:dyDescent="0.3">
      <c r="G201" s="7" t="s">
        <v>19</v>
      </c>
      <c r="H201" s="7" t="s">
        <v>55</v>
      </c>
      <c r="N201" s="7" t="s">
        <v>19</v>
      </c>
      <c r="O201" s="7" t="s">
        <v>55</v>
      </c>
    </row>
    <row r="202" spans="7:15" x14ac:dyDescent="0.3">
      <c r="G202" s="6" t="s">
        <v>19</v>
      </c>
      <c r="H202" s="6" t="s">
        <v>55</v>
      </c>
      <c r="N202" s="6" t="s">
        <v>19</v>
      </c>
      <c r="O202" s="6" t="s">
        <v>55</v>
      </c>
    </row>
    <row r="203" spans="7:15" x14ac:dyDescent="0.3">
      <c r="G203" s="7" t="s">
        <v>19</v>
      </c>
      <c r="H203" s="7" t="s">
        <v>55</v>
      </c>
      <c r="N203" s="7" t="s">
        <v>19</v>
      </c>
      <c r="O203" s="7" t="s">
        <v>55</v>
      </c>
    </row>
    <row r="204" spans="7:15" x14ac:dyDescent="0.3">
      <c r="G204" s="6" t="s">
        <v>19</v>
      </c>
      <c r="H204" s="6" t="s">
        <v>55</v>
      </c>
      <c r="N204" s="6" t="s">
        <v>19</v>
      </c>
      <c r="O204" s="6" t="s">
        <v>55</v>
      </c>
    </row>
    <row r="205" spans="7:15" x14ac:dyDescent="0.3">
      <c r="G205" s="7" t="s">
        <v>19</v>
      </c>
      <c r="H205" s="7" t="s">
        <v>59</v>
      </c>
      <c r="N205" s="7" t="s">
        <v>19</v>
      </c>
      <c r="O205" s="7" t="s">
        <v>59</v>
      </c>
    </row>
    <row r="206" spans="7:15" x14ac:dyDescent="0.3">
      <c r="G206" s="6" t="s">
        <v>19</v>
      </c>
      <c r="H206" s="6" t="s">
        <v>59</v>
      </c>
      <c r="N206" s="6" t="s">
        <v>19</v>
      </c>
      <c r="O206" s="6" t="s">
        <v>59</v>
      </c>
    </row>
    <row r="207" spans="7:15" x14ac:dyDescent="0.3">
      <c r="G207" s="7" t="s">
        <v>19</v>
      </c>
      <c r="H207" s="7" t="s">
        <v>62</v>
      </c>
      <c r="N207" s="7" t="s">
        <v>19</v>
      </c>
      <c r="O207" s="7" t="s">
        <v>62</v>
      </c>
    </row>
    <row r="208" spans="7:15" x14ac:dyDescent="0.3">
      <c r="G208" s="6" t="s">
        <v>19</v>
      </c>
      <c r="H208" s="6" t="s">
        <v>62</v>
      </c>
      <c r="N208" s="6" t="s">
        <v>19</v>
      </c>
      <c r="O208" s="6" t="s">
        <v>62</v>
      </c>
    </row>
    <row r="209" spans="7:15" x14ac:dyDescent="0.3">
      <c r="G209" s="7" t="s">
        <v>19</v>
      </c>
      <c r="H209" s="7" t="s">
        <v>62</v>
      </c>
      <c r="N209" s="7" t="s">
        <v>19</v>
      </c>
      <c r="O209" s="7" t="s">
        <v>62</v>
      </c>
    </row>
    <row r="210" spans="7:15" x14ac:dyDescent="0.3">
      <c r="G210" s="6" t="s">
        <v>19</v>
      </c>
      <c r="H210" s="6" t="s">
        <v>62</v>
      </c>
      <c r="N210" s="6" t="s">
        <v>19</v>
      </c>
      <c r="O210" s="6" t="s">
        <v>62</v>
      </c>
    </row>
    <row r="211" spans="7:15" x14ac:dyDescent="0.3">
      <c r="G211" s="7" t="s">
        <v>19</v>
      </c>
      <c r="H211" s="7" t="s">
        <v>201</v>
      </c>
      <c r="N211" s="7" t="s">
        <v>19</v>
      </c>
      <c r="O211" s="7" t="s">
        <v>201</v>
      </c>
    </row>
    <row r="212" spans="7:15" x14ac:dyDescent="0.3">
      <c r="G212" s="6" t="s">
        <v>19</v>
      </c>
      <c r="H212" s="6" t="s">
        <v>72</v>
      </c>
      <c r="N212" s="6" t="s">
        <v>19</v>
      </c>
      <c r="O212" s="6" t="s">
        <v>72</v>
      </c>
    </row>
    <row r="213" spans="7:15" x14ac:dyDescent="0.3">
      <c r="G213" s="7" t="s">
        <v>19</v>
      </c>
      <c r="H213" s="7" t="s">
        <v>72</v>
      </c>
      <c r="N213" s="7" t="s">
        <v>19</v>
      </c>
      <c r="O213" s="7" t="s">
        <v>72</v>
      </c>
    </row>
    <row r="214" spans="7:15" x14ac:dyDescent="0.3">
      <c r="G214" s="6" t="s">
        <v>19</v>
      </c>
      <c r="H214" s="6" t="s">
        <v>72</v>
      </c>
      <c r="N214" s="6" t="s">
        <v>19</v>
      </c>
      <c r="O214" s="6" t="s">
        <v>72</v>
      </c>
    </row>
    <row r="215" spans="7:15" x14ac:dyDescent="0.3">
      <c r="G215" s="7" t="s">
        <v>19</v>
      </c>
      <c r="H215" s="7" t="s">
        <v>108</v>
      </c>
      <c r="N215" s="7" t="s">
        <v>19</v>
      </c>
      <c r="O215" s="7" t="s">
        <v>108</v>
      </c>
    </row>
    <row r="216" spans="7:15" x14ac:dyDescent="0.3">
      <c r="G216" s="6" t="s">
        <v>19</v>
      </c>
      <c r="H216" s="6" t="s">
        <v>28</v>
      </c>
      <c r="N216" s="6" t="s">
        <v>19</v>
      </c>
      <c r="O216" s="6" t="s">
        <v>28</v>
      </c>
    </row>
    <row r="217" spans="7:15" x14ac:dyDescent="0.3">
      <c r="G217" s="7" t="s">
        <v>19</v>
      </c>
      <c r="H217" s="7" t="s">
        <v>208</v>
      </c>
      <c r="N217" s="7" t="s">
        <v>19</v>
      </c>
      <c r="O217" s="7" t="s">
        <v>208</v>
      </c>
    </row>
    <row r="218" spans="7:15" x14ac:dyDescent="0.3">
      <c r="G218" s="6" t="s">
        <v>19</v>
      </c>
      <c r="H218" s="6" t="s">
        <v>147</v>
      </c>
      <c r="N218" s="6" t="s">
        <v>19</v>
      </c>
      <c r="O218" s="6" t="s">
        <v>147</v>
      </c>
    </row>
    <row r="219" spans="7:15" x14ac:dyDescent="0.3">
      <c r="G219" s="7" t="s">
        <v>19</v>
      </c>
      <c r="H219" s="7" t="s">
        <v>33</v>
      </c>
      <c r="N219" s="7" t="s">
        <v>19</v>
      </c>
      <c r="O219" s="7" t="s">
        <v>33</v>
      </c>
    </row>
    <row r="220" spans="7:15" x14ac:dyDescent="0.3">
      <c r="G220" s="6" t="s">
        <v>19</v>
      </c>
      <c r="H220" s="6" t="s">
        <v>33</v>
      </c>
      <c r="N220" s="6" t="s">
        <v>19</v>
      </c>
      <c r="O220" s="6" t="s">
        <v>33</v>
      </c>
    </row>
    <row r="221" spans="7:15" x14ac:dyDescent="0.3">
      <c r="G221" s="7" t="s">
        <v>19</v>
      </c>
      <c r="H221" s="7" t="s">
        <v>33</v>
      </c>
      <c r="N221" s="7" t="s">
        <v>19</v>
      </c>
      <c r="O221" s="7" t="s">
        <v>33</v>
      </c>
    </row>
    <row r="222" spans="7:15" x14ac:dyDescent="0.3">
      <c r="G222" s="6" t="s">
        <v>19</v>
      </c>
      <c r="H222" s="6" t="s">
        <v>33</v>
      </c>
      <c r="N222" s="6" t="s">
        <v>19</v>
      </c>
      <c r="O222" s="6" t="s">
        <v>33</v>
      </c>
    </row>
    <row r="223" spans="7:15" x14ac:dyDescent="0.3">
      <c r="G223" s="7" t="s">
        <v>19</v>
      </c>
      <c r="H223" s="7" t="s">
        <v>33</v>
      </c>
      <c r="N223" s="7" t="s">
        <v>19</v>
      </c>
      <c r="O223" s="7" t="s">
        <v>33</v>
      </c>
    </row>
    <row r="224" spans="7:15" x14ac:dyDescent="0.3">
      <c r="G224" s="6" t="s">
        <v>19</v>
      </c>
      <c r="H224" s="6" t="s">
        <v>33</v>
      </c>
      <c r="N224" s="6" t="s">
        <v>19</v>
      </c>
      <c r="O224" s="6" t="s">
        <v>33</v>
      </c>
    </row>
    <row r="225" spans="7:15" x14ac:dyDescent="0.3">
      <c r="G225" s="7" t="s">
        <v>19</v>
      </c>
      <c r="H225" s="7" t="s">
        <v>33</v>
      </c>
      <c r="N225" s="7" t="s">
        <v>19</v>
      </c>
      <c r="O225" s="7" t="s">
        <v>33</v>
      </c>
    </row>
    <row r="226" spans="7:15" x14ac:dyDescent="0.3">
      <c r="G226" s="6" t="s">
        <v>19</v>
      </c>
      <c r="H226" s="6" t="s">
        <v>33</v>
      </c>
      <c r="N226" s="6" t="s">
        <v>19</v>
      </c>
      <c r="O226" s="6" t="s">
        <v>33</v>
      </c>
    </row>
    <row r="227" spans="7:15" x14ac:dyDescent="0.3">
      <c r="G227" s="7" t="s">
        <v>19</v>
      </c>
      <c r="H227" s="7" t="s">
        <v>33</v>
      </c>
      <c r="N227" s="7" t="s">
        <v>19</v>
      </c>
      <c r="O227" s="7" t="s">
        <v>33</v>
      </c>
    </row>
    <row r="228" spans="7:15" x14ac:dyDescent="0.3">
      <c r="G228" s="6" t="s">
        <v>19</v>
      </c>
      <c r="H228" s="6" t="s">
        <v>33</v>
      </c>
      <c r="N228" s="6" t="s">
        <v>19</v>
      </c>
      <c r="O228" s="6" t="s">
        <v>33</v>
      </c>
    </row>
    <row r="229" spans="7:15" x14ac:dyDescent="0.3">
      <c r="G229" s="7" t="s">
        <v>19</v>
      </c>
      <c r="H229" s="7" t="s">
        <v>33</v>
      </c>
      <c r="N229" s="7" t="s">
        <v>19</v>
      </c>
      <c r="O229" s="7" t="s">
        <v>33</v>
      </c>
    </row>
    <row r="230" spans="7:15" x14ac:dyDescent="0.3">
      <c r="G230" s="6" t="s">
        <v>19</v>
      </c>
      <c r="H230" s="6" t="s">
        <v>33</v>
      </c>
      <c r="N230" s="6" t="s">
        <v>19</v>
      </c>
      <c r="O230" s="6" t="s">
        <v>33</v>
      </c>
    </row>
    <row r="231" spans="7:15" x14ac:dyDescent="0.3">
      <c r="G231" s="7" t="s">
        <v>19</v>
      </c>
      <c r="H231" s="7" t="s">
        <v>33</v>
      </c>
      <c r="N231" s="7" t="s">
        <v>19</v>
      </c>
      <c r="O231" s="7" t="s">
        <v>33</v>
      </c>
    </row>
    <row r="232" spans="7:15" x14ac:dyDescent="0.3">
      <c r="G232" s="6" t="s">
        <v>19</v>
      </c>
      <c r="H232" s="6" t="s">
        <v>33</v>
      </c>
      <c r="N232" s="6" t="s">
        <v>19</v>
      </c>
      <c r="O232" s="6" t="s">
        <v>33</v>
      </c>
    </row>
    <row r="233" spans="7:15" x14ac:dyDescent="0.3">
      <c r="G233" s="7" t="s">
        <v>19</v>
      </c>
      <c r="H233" s="7" t="s">
        <v>188</v>
      </c>
      <c r="N233" s="7" t="s">
        <v>19</v>
      </c>
      <c r="O233" s="7" t="s">
        <v>188</v>
      </c>
    </row>
    <row r="234" spans="7:15" x14ac:dyDescent="0.3">
      <c r="G234" s="6" t="s">
        <v>19</v>
      </c>
      <c r="H234" s="6" t="s">
        <v>158</v>
      </c>
      <c r="N234" s="6" t="s">
        <v>19</v>
      </c>
      <c r="O234" s="6" t="s">
        <v>158</v>
      </c>
    </row>
    <row r="235" spans="7:15" x14ac:dyDescent="0.3">
      <c r="G235" s="7" t="s">
        <v>19</v>
      </c>
      <c r="H235" s="7" t="s">
        <v>55</v>
      </c>
      <c r="N235" s="7" t="s">
        <v>19</v>
      </c>
      <c r="O235" s="7" t="s">
        <v>55</v>
      </c>
    </row>
    <row r="236" spans="7:15" x14ac:dyDescent="0.3">
      <c r="G236" s="6" t="s">
        <v>19</v>
      </c>
      <c r="H236" s="6" t="s">
        <v>55</v>
      </c>
      <c r="N236" s="6" t="s">
        <v>19</v>
      </c>
      <c r="O236" s="6" t="s">
        <v>55</v>
      </c>
    </row>
    <row r="237" spans="7:15" x14ac:dyDescent="0.3">
      <c r="G237" s="7" t="s">
        <v>19</v>
      </c>
      <c r="H237" s="7" t="s">
        <v>55</v>
      </c>
      <c r="N237" s="7" t="s">
        <v>19</v>
      </c>
      <c r="O237" s="7" t="s">
        <v>55</v>
      </c>
    </row>
    <row r="238" spans="7:15" x14ac:dyDescent="0.3">
      <c r="G238" s="6" t="s">
        <v>19</v>
      </c>
      <c r="H238" s="6" t="s">
        <v>55</v>
      </c>
      <c r="N238" s="6" t="s">
        <v>19</v>
      </c>
      <c r="O238" s="6" t="s">
        <v>55</v>
      </c>
    </row>
    <row r="239" spans="7:15" x14ac:dyDescent="0.3">
      <c r="G239" s="7" t="s">
        <v>19</v>
      </c>
      <c r="H239" s="7" t="s">
        <v>59</v>
      </c>
      <c r="N239" s="7" t="s">
        <v>19</v>
      </c>
      <c r="O239" s="7" t="s">
        <v>59</v>
      </c>
    </row>
    <row r="240" spans="7:15" x14ac:dyDescent="0.3">
      <c r="G240" s="6" t="s">
        <v>19</v>
      </c>
      <c r="H240" s="6" t="s">
        <v>59</v>
      </c>
      <c r="N240" s="6" t="s">
        <v>19</v>
      </c>
      <c r="O240" s="6" t="s">
        <v>59</v>
      </c>
    </row>
    <row r="241" spans="7:15" x14ac:dyDescent="0.3">
      <c r="G241" s="7" t="s">
        <v>19</v>
      </c>
      <c r="H241" s="7" t="s">
        <v>62</v>
      </c>
      <c r="N241" s="7" t="s">
        <v>19</v>
      </c>
      <c r="O241" s="7" t="s">
        <v>62</v>
      </c>
    </row>
    <row r="242" spans="7:15" x14ac:dyDescent="0.3">
      <c r="G242" s="6" t="s">
        <v>19</v>
      </c>
      <c r="H242" s="6" t="s">
        <v>62</v>
      </c>
      <c r="N242" s="6" t="s">
        <v>19</v>
      </c>
      <c r="O242" s="6" t="s">
        <v>62</v>
      </c>
    </row>
    <row r="243" spans="7:15" x14ac:dyDescent="0.3">
      <c r="G243" s="7" t="s">
        <v>19</v>
      </c>
      <c r="H243" s="7" t="s">
        <v>62</v>
      </c>
      <c r="N243" s="7" t="s">
        <v>19</v>
      </c>
      <c r="O243" s="7" t="s">
        <v>62</v>
      </c>
    </row>
    <row r="244" spans="7:15" x14ac:dyDescent="0.3">
      <c r="G244" s="6" t="s">
        <v>19</v>
      </c>
      <c r="H244" s="6" t="s">
        <v>62</v>
      </c>
      <c r="N244" s="6" t="s">
        <v>19</v>
      </c>
      <c r="O244" s="6" t="s">
        <v>62</v>
      </c>
    </row>
    <row r="245" spans="7:15" x14ac:dyDescent="0.3">
      <c r="G245" s="7" t="s">
        <v>19</v>
      </c>
      <c r="H245" s="7" t="s">
        <v>72</v>
      </c>
      <c r="N245" s="7" t="s">
        <v>19</v>
      </c>
      <c r="O245" s="7" t="s">
        <v>72</v>
      </c>
    </row>
    <row r="246" spans="7:15" x14ac:dyDescent="0.3">
      <c r="G246" s="6" t="s">
        <v>19</v>
      </c>
      <c r="H246" s="6" t="s">
        <v>77</v>
      </c>
      <c r="N246" s="6" t="s">
        <v>19</v>
      </c>
      <c r="O246" s="6" t="s">
        <v>77</v>
      </c>
    </row>
    <row r="247" spans="7:15" x14ac:dyDescent="0.3">
      <c r="G247" s="7" t="s">
        <v>19</v>
      </c>
      <c r="H247" s="7" t="s">
        <v>77</v>
      </c>
      <c r="N247" s="7" t="s">
        <v>19</v>
      </c>
      <c r="O247" s="7" t="s">
        <v>77</v>
      </c>
    </row>
    <row r="248" spans="7:15" x14ac:dyDescent="0.3">
      <c r="G248" s="6" t="s">
        <v>19</v>
      </c>
      <c r="H248" s="6" t="s">
        <v>108</v>
      </c>
      <c r="N248" s="6" t="s">
        <v>19</v>
      </c>
      <c r="O248" s="6" t="s">
        <v>108</v>
      </c>
    </row>
    <row r="249" spans="7:15" x14ac:dyDescent="0.3">
      <c r="G249" s="7" t="s">
        <v>19</v>
      </c>
      <c r="H249" s="7" t="s">
        <v>108</v>
      </c>
      <c r="N249" s="7" t="s">
        <v>19</v>
      </c>
      <c r="O249" s="7" t="s">
        <v>108</v>
      </c>
    </row>
    <row r="250" spans="7:15" x14ac:dyDescent="0.3">
      <c r="G250" s="6" t="s">
        <v>19</v>
      </c>
      <c r="H250" s="6" t="s">
        <v>108</v>
      </c>
      <c r="N250" s="6" t="s">
        <v>19</v>
      </c>
      <c r="O250" s="6" t="s">
        <v>108</v>
      </c>
    </row>
    <row r="251" spans="7:15" x14ac:dyDescent="0.3">
      <c r="G251" s="7" t="s">
        <v>19</v>
      </c>
      <c r="H251" s="7" t="s">
        <v>243</v>
      </c>
      <c r="N251" s="7" t="s">
        <v>19</v>
      </c>
      <c r="O251" s="7" t="s">
        <v>243</v>
      </c>
    </row>
    <row r="252" spans="7:15" x14ac:dyDescent="0.3">
      <c r="G252" s="6" t="s">
        <v>19</v>
      </c>
      <c r="H252" s="6" t="s">
        <v>24</v>
      </c>
      <c r="N252" s="6" t="s">
        <v>19</v>
      </c>
      <c r="O252" s="6" t="s">
        <v>24</v>
      </c>
    </row>
    <row r="253" spans="7:15" x14ac:dyDescent="0.3">
      <c r="G253" s="7" t="s">
        <v>19</v>
      </c>
      <c r="H253" s="7" t="s">
        <v>28</v>
      </c>
      <c r="N253" s="7" t="s">
        <v>19</v>
      </c>
      <c r="O253" s="7" t="s">
        <v>28</v>
      </c>
    </row>
    <row r="254" spans="7:15" x14ac:dyDescent="0.3">
      <c r="G254" s="6" t="s">
        <v>19</v>
      </c>
      <c r="H254" s="6" t="s">
        <v>33</v>
      </c>
      <c r="N254" s="6" t="s">
        <v>19</v>
      </c>
      <c r="O254" s="6" t="s">
        <v>33</v>
      </c>
    </row>
    <row r="255" spans="7:15" x14ac:dyDescent="0.3">
      <c r="G255" s="7" t="s">
        <v>19</v>
      </c>
      <c r="H255" s="7" t="s">
        <v>33</v>
      </c>
      <c r="N255" s="7" t="s">
        <v>19</v>
      </c>
      <c r="O255" s="7" t="s">
        <v>33</v>
      </c>
    </row>
    <row r="256" spans="7:15" x14ac:dyDescent="0.3">
      <c r="G256" s="6" t="s">
        <v>19</v>
      </c>
      <c r="H256" s="6" t="s">
        <v>33</v>
      </c>
      <c r="N256" s="6" t="s">
        <v>19</v>
      </c>
      <c r="O256" s="6" t="s">
        <v>33</v>
      </c>
    </row>
    <row r="257" spans="7:15" x14ac:dyDescent="0.3">
      <c r="G257" s="7" t="s">
        <v>19</v>
      </c>
      <c r="H257" s="7" t="s">
        <v>33</v>
      </c>
      <c r="N257" s="7" t="s">
        <v>19</v>
      </c>
      <c r="O257" s="7" t="s">
        <v>33</v>
      </c>
    </row>
    <row r="258" spans="7:15" x14ac:dyDescent="0.3">
      <c r="G258" s="6" t="s">
        <v>19</v>
      </c>
      <c r="H258" s="6" t="s">
        <v>33</v>
      </c>
      <c r="N258" s="6" t="s">
        <v>19</v>
      </c>
      <c r="O258" s="6" t="s">
        <v>33</v>
      </c>
    </row>
    <row r="259" spans="7:15" x14ac:dyDescent="0.3">
      <c r="G259" s="7" t="s">
        <v>19</v>
      </c>
      <c r="H259" s="7" t="s">
        <v>33</v>
      </c>
      <c r="N259" s="7" t="s">
        <v>19</v>
      </c>
      <c r="O259" s="7" t="s">
        <v>33</v>
      </c>
    </row>
    <row r="260" spans="7:15" x14ac:dyDescent="0.3">
      <c r="G260" s="6" t="s">
        <v>19</v>
      </c>
      <c r="H260" s="6" t="s">
        <v>33</v>
      </c>
      <c r="N260" s="6" t="s">
        <v>19</v>
      </c>
      <c r="O260" s="6" t="s">
        <v>33</v>
      </c>
    </row>
    <row r="261" spans="7:15" x14ac:dyDescent="0.3">
      <c r="G261" s="7" t="s">
        <v>19</v>
      </c>
      <c r="H261" s="7" t="s">
        <v>33</v>
      </c>
      <c r="N261" s="7" t="s">
        <v>19</v>
      </c>
      <c r="O261" s="7" t="s">
        <v>33</v>
      </c>
    </row>
    <row r="262" spans="7:15" x14ac:dyDescent="0.3">
      <c r="G262" s="6" t="s">
        <v>19</v>
      </c>
      <c r="H262" s="6" t="s">
        <v>33</v>
      </c>
      <c r="N262" s="6" t="s">
        <v>19</v>
      </c>
      <c r="O262" s="6" t="s">
        <v>33</v>
      </c>
    </row>
    <row r="263" spans="7:15" x14ac:dyDescent="0.3">
      <c r="G263" s="7" t="s">
        <v>19</v>
      </c>
      <c r="H263" s="7" t="s">
        <v>33</v>
      </c>
      <c r="N263" s="7" t="s">
        <v>19</v>
      </c>
      <c r="O263" s="7" t="s">
        <v>33</v>
      </c>
    </row>
    <row r="264" spans="7:15" x14ac:dyDescent="0.3">
      <c r="G264" s="6" t="s">
        <v>19</v>
      </c>
      <c r="H264" s="6" t="s">
        <v>33</v>
      </c>
      <c r="N264" s="6" t="s">
        <v>19</v>
      </c>
      <c r="O264" s="6" t="s">
        <v>33</v>
      </c>
    </row>
    <row r="265" spans="7:15" x14ac:dyDescent="0.3">
      <c r="G265" s="7" t="s">
        <v>19</v>
      </c>
      <c r="H265" s="7" t="s">
        <v>258</v>
      </c>
      <c r="N265" s="7" t="s">
        <v>19</v>
      </c>
      <c r="O265" s="7" t="s">
        <v>258</v>
      </c>
    </row>
    <row r="266" spans="7:15" x14ac:dyDescent="0.3">
      <c r="G266" s="6" t="s">
        <v>19</v>
      </c>
      <c r="H266" s="6" t="s">
        <v>158</v>
      </c>
      <c r="N266" s="6" t="s">
        <v>19</v>
      </c>
      <c r="O266" s="6" t="s">
        <v>158</v>
      </c>
    </row>
    <row r="267" spans="7:15" x14ac:dyDescent="0.3">
      <c r="G267" s="7" t="s">
        <v>19</v>
      </c>
      <c r="H267" s="7" t="s">
        <v>55</v>
      </c>
      <c r="N267" s="7" t="s">
        <v>19</v>
      </c>
      <c r="O267" s="7" t="s">
        <v>55</v>
      </c>
    </row>
    <row r="268" spans="7:15" x14ac:dyDescent="0.3">
      <c r="G268" s="6" t="s">
        <v>19</v>
      </c>
      <c r="H268" s="6" t="s">
        <v>62</v>
      </c>
      <c r="N268" s="6" t="s">
        <v>19</v>
      </c>
      <c r="O268" s="6" t="s">
        <v>62</v>
      </c>
    </row>
    <row r="269" spans="7:15" x14ac:dyDescent="0.3">
      <c r="G269" s="7" t="s">
        <v>19</v>
      </c>
      <c r="H269" s="7" t="s">
        <v>62</v>
      </c>
      <c r="N269" s="7" t="s">
        <v>19</v>
      </c>
      <c r="O269" s="7" t="s">
        <v>62</v>
      </c>
    </row>
    <row r="270" spans="7:15" x14ac:dyDescent="0.3">
      <c r="G270" s="6" t="s">
        <v>19</v>
      </c>
      <c r="H270" s="6" t="s">
        <v>62</v>
      </c>
      <c r="N270" s="6" t="s">
        <v>19</v>
      </c>
      <c r="O270" s="6" t="s">
        <v>62</v>
      </c>
    </row>
    <row r="271" spans="7:15" x14ac:dyDescent="0.3">
      <c r="G271" s="7" t="s">
        <v>19</v>
      </c>
      <c r="H271" s="7" t="s">
        <v>103</v>
      </c>
      <c r="N271" s="7" t="s">
        <v>19</v>
      </c>
      <c r="O271" s="7" t="s">
        <v>103</v>
      </c>
    </row>
    <row r="272" spans="7:15" x14ac:dyDescent="0.3">
      <c r="G272" s="6" t="s">
        <v>19</v>
      </c>
      <c r="H272" s="6" t="s">
        <v>74</v>
      </c>
      <c r="N272" s="6" t="s">
        <v>19</v>
      </c>
      <c r="O272" s="6" t="s">
        <v>74</v>
      </c>
    </row>
    <row r="273" spans="7:15" x14ac:dyDescent="0.3">
      <c r="G273" s="7" t="s">
        <v>19</v>
      </c>
      <c r="H273" s="7" t="s">
        <v>77</v>
      </c>
      <c r="N273" s="7" t="s">
        <v>19</v>
      </c>
      <c r="O273" s="7" t="s">
        <v>77</v>
      </c>
    </row>
    <row r="274" spans="7:15" x14ac:dyDescent="0.3">
      <c r="G274" s="6" t="s">
        <v>19</v>
      </c>
      <c r="H274" s="6" t="s">
        <v>268</v>
      </c>
      <c r="N274" s="6" t="s">
        <v>19</v>
      </c>
      <c r="O274" s="6" t="s">
        <v>268</v>
      </c>
    </row>
    <row r="275" spans="7:15" x14ac:dyDescent="0.3">
      <c r="G275" s="7" t="s">
        <v>19</v>
      </c>
      <c r="H275" s="7" t="s">
        <v>108</v>
      </c>
      <c r="N275" s="7" t="s">
        <v>19</v>
      </c>
      <c r="O275" s="7" t="s">
        <v>108</v>
      </c>
    </row>
    <row r="276" spans="7:15" x14ac:dyDescent="0.3">
      <c r="G276" s="6" t="s">
        <v>19</v>
      </c>
      <c r="H276" s="6" t="s">
        <v>110</v>
      </c>
      <c r="N276" s="6" t="s">
        <v>19</v>
      </c>
      <c r="O276" s="6" t="s">
        <v>110</v>
      </c>
    </row>
    <row r="277" spans="7:15" x14ac:dyDescent="0.3">
      <c r="G277" s="7" t="s">
        <v>19</v>
      </c>
      <c r="H277" s="7" t="s">
        <v>110</v>
      </c>
      <c r="N277" s="7" t="s">
        <v>19</v>
      </c>
      <c r="O277" s="7" t="s">
        <v>110</v>
      </c>
    </row>
    <row r="278" spans="7:15" x14ac:dyDescent="0.3">
      <c r="G278" s="6" t="s">
        <v>19</v>
      </c>
      <c r="H278" s="6" t="s">
        <v>110</v>
      </c>
      <c r="N278" s="6" t="s">
        <v>19</v>
      </c>
      <c r="O278" s="6" t="s">
        <v>110</v>
      </c>
    </row>
    <row r="279" spans="7:15" x14ac:dyDescent="0.3">
      <c r="G279" s="7" t="s">
        <v>19</v>
      </c>
      <c r="H279" s="7" t="s">
        <v>115</v>
      </c>
      <c r="N279" s="7" t="s">
        <v>19</v>
      </c>
      <c r="O279" s="7" t="s">
        <v>115</v>
      </c>
    </row>
    <row r="280" spans="7:15" x14ac:dyDescent="0.3">
      <c r="G280" s="6" t="s">
        <v>19</v>
      </c>
      <c r="H280" s="6" t="s">
        <v>24</v>
      </c>
      <c r="N280" s="6" t="s">
        <v>19</v>
      </c>
      <c r="O280" s="6" t="s">
        <v>24</v>
      </c>
    </row>
    <row r="281" spans="7:15" x14ac:dyDescent="0.3">
      <c r="G281" s="7" t="s">
        <v>19</v>
      </c>
      <c r="H281" s="7" t="s">
        <v>28</v>
      </c>
      <c r="N281" s="7" t="s">
        <v>19</v>
      </c>
      <c r="O281" s="7" t="s">
        <v>28</v>
      </c>
    </row>
    <row r="282" spans="7:15" x14ac:dyDescent="0.3">
      <c r="G282" s="6" t="s">
        <v>19</v>
      </c>
      <c r="H282" s="6" t="s">
        <v>33</v>
      </c>
      <c r="N282" s="6" t="s">
        <v>19</v>
      </c>
      <c r="O282" s="6" t="s">
        <v>33</v>
      </c>
    </row>
    <row r="283" spans="7:15" x14ac:dyDescent="0.3">
      <c r="G283" s="7" t="s">
        <v>19</v>
      </c>
      <c r="H283" s="7" t="s">
        <v>33</v>
      </c>
      <c r="N283" s="7" t="s">
        <v>19</v>
      </c>
      <c r="O283" s="7" t="s">
        <v>33</v>
      </c>
    </row>
    <row r="284" spans="7:15" x14ac:dyDescent="0.3">
      <c r="G284" s="6" t="s">
        <v>19</v>
      </c>
      <c r="H284" s="6" t="s">
        <v>33</v>
      </c>
      <c r="N284" s="6" t="s">
        <v>19</v>
      </c>
      <c r="O284" s="6" t="s">
        <v>33</v>
      </c>
    </row>
    <row r="285" spans="7:15" x14ac:dyDescent="0.3">
      <c r="G285" s="7" t="s">
        <v>19</v>
      </c>
      <c r="H285" s="7" t="s">
        <v>33</v>
      </c>
      <c r="N285" s="7" t="s">
        <v>19</v>
      </c>
      <c r="O285" s="7" t="s">
        <v>33</v>
      </c>
    </row>
    <row r="286" spans="7:15" x14ac:dyDescent="0.3">
      <c r="G286" s="6" t="s">
        <v>19</v>
      </c>
      <c r="H286" s="6" t="s">
        <v>33</v>
      </c>
      <c r="N286" s="6" t="s">
        <v>19</v>
      </c>
      <c r="O286" s="6" t="s">
        <v>33</v>
      </c>
    </row>
    <row r="287" spans="7:15" x14ac:dyDescent="0.3">
      <c r="G287" s="7" t="s">
        <v>19</v>
      </c>
      <c r="H287" s="7" t="s">
        <v>33</v>
      </c>
      <c r="N287" s="7" t="s">
        <v>19</v>
      </c>
      <c r="O287" s="7" t="s">
        <v>33</v>
      </c>
    </row>
    <row r="288" spans="7:15" x14ac:dyDescent="0.3">
      <c r="G288" s="6" t="s">
        <v>19</v>
      </c>
      <c r="H288" s="6" t="s">
        <v>33</v>
      </c>
      <c r="N288" s="6" t="s">
        <v>19</v>
      </c>
      <c r="O288" s="6" t="s">
        <v>33</v>
      </c>
    </row>
    <row r="289" spans="7:15" x14ac:dyDescent="0.3">
      <c r="G289" s="7" t="s">
        <v>19</v>
      </c>
      <c r="H289" s="7" t="s">
        <v>33</v>
      </c>
      <c r="N289" s="7" t="s">
        <v>19</v>
      </c>
      <c r="O289" s="7" t="s">
        <v>33</v>
      </c>
    </row>
    <row r="290" spans="7:15" x14ac:dyDescent="0.3">
      <c r="G290" s="6" t="s">
        <v>19</v>
      </c>
      <c r="H290" s="6" t="s">
        <v>33</v>
      </c>
      <c r="N290" s="6" t="s">
        <v>19</v>
      </c>
      <c r="O290" s="6" t="s">
        <v>33</v>
      </c>
    </row>
    <row r="291" spans="7:15" x14ac:dyDescent="0.3">
      <c r="G291" s="7" t="s">
        <v>19</v>
      </c>
      <c r="H291" s="7" t="s">
        <v>33</v>
      </c>
      <c r="N291" s="7" t="s">
        <v>19</v>
      </c>
      <c r="O291" s="7" t="s">
        <v>33</v>
      </c>
    </row>
    <row r="292" spans="7:15" x14ac:dyDescent="0.3">
      <c r="G292" s="6" t="s">
        <v>19</v>
      </c>
      <c r="H292" s="6" t="s">
        <v>55</v>
      </c>
      <c r="N292" s="6" t="s">
        <v>19</v>
      </c>
      <c r="O292" s="6" t="s">
        <v>55</v>
      </c>
    </row>
    <row r="293" spans="7:15" x14ac:dyDescent="0.3">
      <c r="G293" s="7" t="s">
        <v>19</v>
      </c>
      <c r="H293" s="7" t="s">
        <v>55</v>
      </c>
      <c r="N293" s="7" t="s">
        <v>19</v>
      </c>
      <c r="O293" s="7" t="s">
        <v>55</v>
      </c>
    </row>
    <row r="294" spans="7:15" x14ac:dyDescent="0.3">
      <c r="G294" s="6" t="s">
        <v>19</v>
      </c>
      <c r="H294" s="6" t="s">
        <v>62</v>
      </c>
      <c r="N294" s="6" t="s">
        <v>19</v>
      </c>
      <c r="O294" s="6" t="s">
        <v>62</v>
      </c>
    </row>
    <row r="295" spans="7:15" x14ac:dyDescent="0.3">
      <c r="G295" s="7" t="s">
        <v>19</v>
      </c>
      <c r="H295" s="7" t="s">
        <v>72</v>
      </c>
      <c r="N295" s="7" t="s">
        <v>19</v>
      </c>
      <c r="O295" s="7" t="s">
        <v>72</v>
      </c>
    </row>
    <row r="296" spans="7:15" x14ac:dyDescent="0.3">
      <c r="G296" s="6" t="s">
        <v>19</v>
      </c>
      <c r="H296" s="6" t="s">
        <v>108</v>
      </c>
      <c r="N296" s="6" t="s">
        <v>19</v>
      </c>
      <c r="O296" s="6" t="s">
        <v>108</v>
      </c>
    </row>
    <row r="297" spans="7:15" x14ac:dyDescent="0.3">
      <c r="G297" s="7" t="s">
        <v>19</v>
      </c>
      <c r="H297" s="7" t="s">
        <v>292</v>
      </c>
      <c r="N297" s="7" t="s">
        <v>19</v>
      </c>
      <c r="O297" s="7" t="s">
        <v>292</v>
      </c>
    </row>
    <row r="298" spans="7:15" x14ac:dyDescent="0.3">
      <c r="G298" s="6" t="s">
        <v>19</v>
      </c>
      <c r="H298" s="6" t="s">
        <v>115</v>
      </c>
      <c r="N298" s="6" t="s">
        <v>19</v>
      </c>
      <c r="O298" s="6" t="s">
        <v>115</v>
      </c>
    </row>
    <row r="299" spans="7:15" x14ac:dyDescent="0.3">
      <c r="G299" s="7" t="s">
        <v>19</v>
      </c>
      <c r="H299" s="7" t="s">
        <v>115</v>
      </c>
      <c r="N299" s="7" t="s">
        <v>19</v>
      </c>
      <c r="O299" s="7" t="s">
        <v>115</v>
      </c>
    </row>
    <row r="300" spans="7:15" x14ac:dyDescent="0.3">
      <c r="G300" s="6" t="s">
        <v>19</v>
      </c>
      <c r="H300" s="6" t="s">
        <v>28</v>
      </c>
      <c r="N300" s="6" t="s">
        <v>19</v>
      </c>
      <c r="O300" s="6" t="s">
        <v>28</v>
      </c>
    </row>
    <row r="301" spans="7:15" x14ac:dyDescent="0.3">
      <c r="G301" s="7" t="s">
        <v>19</v>
      </c>
      <c r="H301" s="7" t="s">
        <v>33</v>
      </c>
      <c r="N301" s="7" t="s">
        <v>19</v>
      </c>
      <c r="O301" s="7" t="s">
        <v>33</v>
      </c>
    </row>
    <row r="302" spans="7:15" x14ac:dyDescent="0.3">
      <c r="G302" s="6" t="s">
        <v>19</v>
      </c>
      <c r="H302" s="6" t="s">
        <v>33</v>
      </c>
      <c r="N302" s="6" t="s">
        <v>19</v>
      </c>
      <c r="O302" s="6" t="s">
        <v>33</v>
      </c>
    </row>
    <row r="303" spans="7:15" x14ac:dyDescent="0.3">
      <c r="G303" s="7" t="s">
        <v>19</v>
      </c>
      <c r="H303" s="7" t="s">
        <v>33</v>
      </c>
      <c r="N303" s="7" t="s">
        <v>19</v>
      </c>
      <c r="O303" s="7" t="s">
        <v>33</v>
      </c>
    </row>
    <row r="304" spans="7:15" x14ac:dyDescent="0.3">
      <c r="G304" s="6" t="s">
        <v>19</v>
      </c>
      <c r="H304" s="6" t="s">
        <v>33</v>
      </c>
      <c r="N304" s="6" t="s">
        <v>19</v>
      </c>
      <c r="O304" s="6" t="s">
        <v>33</v>
      </c>
    </row>
    <row r="305" spans="7:15" x14ac:dyDescent="0.3">
      <c r="G305" s="7" t="s">
        <v>19</v>
      </c>
      <c r="H305" s="7" t="s">
        <v>49</v>
      </c>
      <c r="N305" s="7" t="s">
        <v>19</v>
      </c>
      <c r="O305" s="7" t="s">
        <v>49</v>
      </c>
    </row>
    <row r="306" spans="7:15" x14ac:dyDescent="0.3">
      <c r="G306" s="6" t="s">
        <v>19</v>
      </c>
      <c r="H306" s="6" t="s">
        <v>55</v>
      </c>
      <c r="N306" s="6" t="s">
        <v>19</v>
      </c>
      <c r="O306" s="6" t="s">
        <v>55</v>
      </c>
    </row>
    <row r="307" spans="7:15" x14ac:dyDescent="0.3">
      <c r="G307" s="7" t="s">
        <v>19</v>
      </c>
      <c r="H307" s="7" t="s">
        <v>55</v>
      </c>
      <c r="N307" s="7" t="s">
        <v>19</v>
      </c>
      <c r="O307" s="7" t="s">
        <v>55</v>
      </c>
    </row>
    <row r="308" spans="7:15" x14ac:dyDescent="0.3">
      <c r="G308" s="6" t="s">
        <v>19</v>
      </c>
      <c r="H308" s="6" t="s">
        <v>62</v>
      </c>
      <c r="N308" s="6" t="s">
        <v>19</v>
      </c>
      <c r="O308" s="6" t="s">
        <v>62</v>
      </c>
    </row>
    <row r="309" spans="7:15" x14ac:dyDescent="0.3">
      <c r="G309" s="7" t="s">
        <v>19</v>
      </c>
      <c r="H309" s="7" t="s">
        <v>62</v>
      </c>
      <c r="N309" s="7" t="s">
        <v>19</v>
      </c>
      <c r="O309" s="7" t="s">
        <v>62</v>
      </c>
    </row>
    <row r="310" spans="7:15" x14ac:dyDescent="0.3">
      <c r="G310" s="6" t="s">
        <v>19</v>
      </c>
      <c r="H310" s="6" t="s">
        <v>62</v>
      </c>
      <c r="N310" s="6" t="s">
        <v>19</v>
      </c>
      <c r="O310" s="6" t="s">
        <v>62</v>
      </c>
    </row>
    <row r="311" spans="7:15" x14ac:dyDescent="0.3">
      <c r="G311" s="7" t="s">
        <v>19</v>
      </c>
      <c r="H311" s="7" t="s">
        <v>77</v>
      </c>
      <c r="N311" s="7" t="s">
        <v>19</v>
      </c>
      <c r="O311" s="7" t="s">
        <v>77</v>
      </c>
    </row>
    <row r="312" spans="7:15" x14ac:dyDescent="0.3">
      <c r="G312" s="6" t="s">
        <v>19</v>
      </c>
      <c r="H312" s="6" t="s">
        <v>77</v>
      </c>
      <c r="N312" s="6" t="s">
        <v>19</v>
      </c>
      <c r="O312" s="6" t="s">
        <v>77</v>
      </c>
    </row>
    <row r="313" spans="7:15" x14ac:dyDescent="0.3">
      <c r="G313" s="7" t="s">
        <v>19</v>
      </c>
      <c r="H313" s="7" t="s">
        <v>309</v>
      </c>
      <c r="N313" s="7" t="s">
        <v>19</v>
      </c>
      <c r="O313" s="7" t="s">
        <v>309</v>
      </c>
    </row>
    <row r="314" spans="7:15" x14ac:dyDescent="0.3">
      <c r="G314" s="6" t="s">
        <v>19</v>
      </c>
      <c r="H314" s="6" t="s">
        <v>108</v>
      </c>
      <c r="N314" s="6" t="s">
        <v>19</v>
      </c>
      <c r="O314" s="6" t="s">
        <v>108</v>
      </c>
    </row>
    <row r="315" spans="7:15" x14ac:dyDescent="0.3">
      <c r="G315" s="7" t="s">
        <v>19</v>
      </c>
      <c r="H315" s="7" t="s">
        <v>113</v>
      </c>
      <c r="N315" s="7" t="s">
        <v>19</v>
      </c>
      <c r="O315" s="7" t="s">
        <v>113</v>
      </c>
    </row>
    <row r="316" spans="7:15" x14ac:dyDescent="0.3">
      <c r="G316" s="6" t="s">
        <v>19</v>
      </c>
      <c r="H316" s="6" t="s">
        <v>24</v>
      </c>
      <c r="N316" s="6" t="s">
        <v>19</v>
      </c>
      <c r="O316" s="6" t="s">
        <v>24</v>
      </c>
    </row>
    <row r="317" spans="7:15" x14ac:dyDescent="0.3">
      <c r="G317" s="7" t="s">
        <v>19</v>
      </c>
      <c r="H317" s="7" t="s">
        <v>147</v>
      </c>
      <c r="N317" s="7" t="s">
        <v>19</v>
      </c>
      <c r="O317" s="7" t="s">
        <v>147</v>
      </c>
    </row>
    <row r="318" spans="7:15" x14ac:dyDescent="0.3">
      <c r="G318" s="6" t="s">
        <v>19</v>
      </c>
      <c r="H318" s="6" t="s">
        <v>33</v>
      </c>
      <c r="N318" s="6" t="s">
        <v>19</v>
      </c>
      <c r="O318" s="6" t="s">
        <v>33</v>
      </c>
    </row>
    <row r="319" spans="7:15" x14ac:dyDescent="0.3">
      <c r="G319" s="7" t="s">
        <v>19</v>
      </c>
      <c r="H319" s="7" t="s">
        <v>33</v>
      </c>
      <c r="N319" s="7" t="s">
        <v>19</v>
      </c>
      <c r="O319" s="7" t="s">
        <v>33</v>
      </c>
    </row>
    <row r="320" spans="7:15" x14ac:dyDescent="0.3">
      <c r="G320" s="6" t="s">
        <v>19</v>
      </c>
      <c r="H320" s="6" t="s">
        <v>33</v>
      </c>
      <c r="N320" s="6" t="s">
        <v>19</v>
      </c>
      <c r="O320" s="6" t="s">
        <v>33</v>
      </c>
    </row>
    <row r="321" spans="7:15" x14ac:dyDescent="0.3">
      <c r="G321" s="7" t="s">
        <v>19</v>
      </c>
      <c r="H321" s="7" t="s">
        <v>33</v>
      </c>
      <c r="N321" s="7" t="s">
        <v>19</v>
      </c>
      <c r="O321" s="7" t="s">
        <v>33</v>
      </c>
    </row>
    <row r="322" spans="7:15" x14ac:dyDescent="0.3">
      <c r="G322" s="6" t="s">
        <v>19</v>
      </c>
      <c r="H322" s="6" t="s">
        <v>258</v>
      </c>
      <c r="N322" s="6" t="s">
        <v>19</v>
      </c>
      <c r="O322" s="6" t="s">
        <v>258</v>
      </c>
    </row>
    <row r="323" spans="7:15" x14ac:dyDescent="0.3">
      <c r="G323" s="7" t="s">
        <v>19</v>
      </c>
      <c r="H323" s="7" t="s">
        <v>55</v>
      </c>
      <c r="N323" s="7" t="s">
        <v>19</v>
      </c>
      <c r="O323" s="7" t="s">
        <v>55</v>
      </c>
    </row>
    <row r="324" spans="7:15" x14ac:dyDescent="0.3">
      <c r="G324" s="6" t="s">
        <v>19</v>
      </c>
      <c r="H324" s="6" t="s">
        <v>55</v>
      </c>
      <c r="N324" s="6" t="s">
        <v>19</v>
      </c>
      <c r="O324" s="6" t="s">
        <v>55</v>
      </c>
    </row>
    <row r="325" spans="7:15" x14ac:dyDescent="0.3">
      <c r="G325" s="7" t="s">
        <v>19</v>
      </c>
      <c r="H325" s="7" t="s">
        <v>62</v>
      </c>
      <c r="N325" s="7" t="s">
        <v>19</v>
      </c>
      <c r="O325" s="7" t="s">
        <v>62</v>
      </c>
    </row>
    <row r="326" spans="7:15" x14ac:dyDescent="0.3">
      <c r="G326" s="6" t="s">
        <v>19</v>
      </c>
      <c r="H326" s="6" t="s">
        <v>62</v>
      </c>
      <c r="N326" s="6" t="s">
        <v>19</v>
      </c>
      <c r="O326" s="6" t="s">
        <v>62</v>
      </c>
    </row>
    <row r="327" spans="7:15" x14ac:dyDescent="0.3">
      <c r="G327" s="7" t="s">
        <v>19</v>
      </c>
      <c r="H327" s="7" t="s">
        <v>72</v>
      </c>
      <c r="N327" s="7" t="s">
        <v>19</v>
      </c>
      <c r="O327" s="7" t="s">
        <v>72</v>
      </c>
    </row>
    <row r="328" spans="7:15" x14ac:dyDescent="0.3">
      <c r="G328" s="6" t="s">
        <v>19</v>
      </c>
      <c r="H328" s="6" t="s">
        <v>74</v>
      </c>
      <c r="N328" s="6" t="s">
        <v>19</v>
      </c>
      <c r="O328" s="6" t="s">
        <v>74</v>
      </c>
    </row>
    <row r="329" spans="7:15" x14ac:dyDescent="0.3">
      <c r="G329" s="7" t="s">
        <v>19</v>
      </c>
      <c r="H329" s="7" t="s">
        <v>77</v>
      </c>
      <c r="N329" s="7" t="s">
        <v>19</v>
      </c>
      <c r="O329" s="7" t="s">
        <v>77</v>
      </c>
    </row>
    <row r="330" spans="7:15" x14ac:dyDescent="0.3">
      <c r="G330" s="6" t="s">
        <v>19</v>
      </c>
      <c r="H330" s="6" t="s">
        <v>115</v>
      </c>
      <c r="N330" s="6" t="s">
        <v>19</v>
      </c>
      <c r="O330" s="6" t="s">
        <v>115</v>
      </c>
    </row>
    <row r="331" spans="7:15" x14ac:dyDescent="0.3">
      <c r="G331" s="7" t="s">
        <v>19</v>
      </c>
      <c r="H331" s="7" t="s">
        <v>115</v>
      </c>
      <c r="N331" s="7" t="s">
        <v>19</v>
      </c>
      <c r="O331" s="7" t="s">
        <v>115</v>
      </c>
    </row>
    <row r="332" spans="7:15" x14ac:dyDescent="0.3">
      <c r="G332" s="6" t="s">
        <v>19</v>
      </c>
      <c r="H332" s="6" t="s">
        <v>115</v>
      </c>
      <c r="N332" s="6" t="s">
        <v>19</v>
      </c>
      <c r="O332" s="6" t="s">
        <v>115</v>
      </c>
    </row>
    <row r="333" spans="7:15" x14ac:dyDescent="0.3">
      <c r="G333" s="7" t="s">
        <v>19</v>
      </c>
      <c r="H333" s="7" t="s">
        <v>28</v>
      </c>
      <c r="N333" s="7" t="s">
        <v>19</v>
      </c>
      <c r="O333" s="7" t="s">
        <v>28</v>
      </c>
    </row>
    <row r="334" spans="7:15" x14ac:dyDescent="0.3">
      <c r="G334" s="6" t="s">
        <v>19</v>
      </c>
      <c r="H334" s="6" t="s">
        <v>331</v>
      </c>
      <c r="N334" s="6" t="s">
        <v>19</v>
      </c>
      <c r="O334" s="6" t="s">
        <v>331</v>
      </c>
    </row>
    <row r="335" spans="7:15" x14ac:dyDescent="0.3">
      <c r="G335" s="7" t="s">
        <v>19</v>
      </c>
      <c r="H335" s="7" t="s">
        <v>147</v>
      </c>
      <c r="N335" s="7" t="s">
        <v>19</v>
      </c>
      <c r="O335" s="7" t="s">
        <v>147</v>
      </c>
    </row>
    <row r="336" spans="7:15" x14ac:dyDescent="0.3">
      <c r="G336" s="6" t="s">
        <v>19</v>
      </c>
      <c r="H336" s="6" t="s">
        <v>334</v>
      </c>
      <c r="N336" s="6" t="s">
        <v>19</v>
      </c>
      <c r="O336" s="6" t="s">
        <v>334</v>
      </c>
    </row>
    <row r="337" spans="7:15" x14ac:dyDescent="0.3">
      <c r="G337" s="7" t="s">
        <v>19</v>
      </c>
      <c r="H337" s="7" t="s">
        <v>33</v>
      </c>
      <c r="N337" s="7" t="s">
        <v>19</v>
      </c>
      <c r="O337" s="7" t="s">
        <v>33</v>
      </c>
    </row>
    <row r="338" spans="7:15" x14ac:dyDescent="0.3">
      <c r="G338" s="6" t="s">
        <v>19</v>
      </c>
      <c r="H338" s="6" t="s">
        <v>33</v>
      </c>
      <c r="N338" s="6" t="s">
        <v>19</v>
      </c>
      <c r="O338" s="6" t="s">
        <v>33</v>
      </c>
    </row>
    <row r="339" spans="7:15" x14ac:dyDescent="0.3">
      <c r="G339" s="7" t="s">
        <v>19</v>
      </c>
      <c r="H339" s="7" t="s">
        <v>338</v>
      </c>
      <c r="N339" s="7" t="s">
        <v>19</v>
      </c>
      <c r="O339" s="7" t="s">
        <v>338</v>
      </c>
    </row>
    <row r="340" spans="7:15" x14ac:dyDescent="0.3">
      <c r="G340" s="6" t="s">
        <v>19</v>
      </c>
      <c r="H340" s="6" t="s">
        <v>158</v>
      </c>
      <c r="N340" s="6" t="s">
        <v>19</v>
      </c>
      <c r="O340" s="6" t="s">
        <v>158</v>
      </c>
    </row>
    <row r="341" spans="7:15" x14ac:dyDescent="0.3">
      <c r="G341" s="7" t="s">
        <v>19</v>
      </c>
      <c r="H341" s="7" t="s">
        <v>158</v>
      </c>
      <c r="N341" s="7" t="s">
        <v>19</v>
      </c>
      <c r="O341" s="7" t="s">
        <v>158</v>
      </c>
    </row>
    <row r="342" spans="7:15" x14ac:dyDescent="0.3">
      <c r="G342" s="6" t="s">
        <v>19</v>
      </c>
      <c r="H342" s="6" t="s">
        <v>342</v>
      </c>
      <c r="N342" s="6" t="s">
        <v>19</v>
      </c>
      <c r="O342" s="6" t="s">
        <v>342</v>
      </c>
    </row>
    <row r="343" spans="7:15" x14ac:dyDescent="0.3">
      <c r="G343" s="7" t="s">
        <v>19</v>
      </c>
      <c r="H343" s="7" t="s">
        <v>62</v>
      </c>
      <c r="N343" s="7" t="s">
        <v>19</v>
      </c>
      <c r="O343" s="7" t="s">
        <v>62</v>
      </c>
    </row>
    <row r="344" spans="7:15" x14ac:dyDescent="0.3">
      <c r="G344" s="6" t="s">
        <v>19</v>
      </c>
      <c r="H344" s="6" t="s">
        <v>62</v>
      </c>
      <c r="N344" s="6" t="s">
        <v>19</v>
      </c>
      <c r="O344" s="6" t="s">
        <v>62</v>
      </c>
    </row>
    <row r="345" spans="7:15" x14ac:dyDescent="0.3">
      <c r="G345" s="7" t="s">
        <v>19</v>
      </c>
      <c r="H345" s="7" t="s">
        <v>62</v>
      </c>
      <c r="N345" s="7" t="s">
        <v>19</v>
      </c>
      <c r="O345" s="7" t="s">
        <v>62</v>
      </c>
    </row>
    <row r="346" spans="7:15" x14ac:dyDescent="0.3">
      <c r="G346" s="6" t="s">
        <v>19</v>
      </c>
      <c r="H346" s="6" t="s">
        <v>108</v>
      </c>
      <c r="N346" s="6" t="s">
        <v>19</v>
      </c>
      <c r="O346" s="6" t="s">
        <v>108</v>
      </c>
    </row>
    <row r="347" spans="7:15" x14ac:dyDescent="0.3">
      <c r="G347" s="7" t="s">
        <v>19</v>
      </c>
      <c r="H347" s="7" t="s">
        <v>110</v>
      </c>
      <c r="N347" s="7" t="s">
        <v>19</v>
      </c>
      <c r="O347" s="7" t="s">
        <v>110</v>
      </c>
    </row>
    <row r="348" spans="7:15" x14ac:dyDescent="0.3">
      <c r="G348" s="6" t="s">
        <v>19</v>
      </c>
      <c r="H348" s="6" t="s">
        <v>113</v>
      </c>
      <c r="N348" s="6" t="s">
        <v>19</v>
      </c>
      <c r="O348" s="6" t="s">
        <v>113</v>
      </c>
    </row>
    <row r="349" spans="7:15" x14ac:dyDescent="0.3">
      <c r="G349" s="7" t="s">
        <v>19</v>
      </c>
      <c r="H349" s="7" t="s">
        <v>115</v>
      </c>
      <c r="N349" s="7" t="s">
        <v>19</v>
      </c>
      <c r="O349" s="7" t="s">
        <v>115</v>
      </c>
    </row>
    <row r="350" spans="7:15" x14ac:dyDescent="0.3">
      <c r="G350" s="6" t="s">
        <v>19</v>
      </c>
      <c r="H350" s="6" t="s">
        <v>331</v>
      </c>
      <c r="N350" s="6" t="s">
        <v>19</v>
      </c>
      <c r="O350" s="6" t="s">
        <v>331</v>
      </c>
    </row>
    <row r="351" spans="7:15" x14ac:dyDescent="0.3">
      <c r="G351" s="7" t="s">
        <v>19</v>
      </c>
      <c r="H351" s="7" t="s">
        <v>33</v>
      </c>
      <c r="N351" s="7" t="s">
        <v>19</v>
      </c>
      <c r="O351" s="7" t="s">
        <v>33</v>
      </c>
    </row>
    <row r="352" spans="7:15" x14ac:dyDescent="0.3">
      <c r="G352" s="6" t="s">
        <v>19</v>
      </c>
      <c r="H352" s="6" t="s">
        <v>33</v>
      </c>
      <c r="N352" s="6" t="s">
        <v>19</v>
      </c>
      <c r="O352" s="6" t="s">
        <v>33</v>
      </c>
    </row>
    <row r="353" spans="7:15" x14ac:dyDescent="0.3">
      <c r="G353" s="7" t="s">
        <v>19</v>
      </c>
      <c r="H353" s="7" t="s">
        <v>33</v>
      </c>
      <c r="N353" s="7" t="s">
        <v>19</v>
      </c>
      <c r="O353" s="7" t="s">
        <v>33</v>
      </c>
    </row>
    <row r="354" spans="7:15" x14ac:dyDescent="0.3">
      <c r="G354" s="6" t="s">
        <v>19</v>
      </c>
      <c r="H354" s="6" t="s">
        <v>33</v>
      </c>
      <c r="N354" s="6" t="s">
        <v>19</v>
      </c>
      <c r="O354" s="6" t="s">
        <v>33</v>
      </c>
    </row>
    <row r="355" spans="7:15" x14ac:dyDescent="0.3">
      <c r="G355" s="7" t="s">
        <v>19</v>
      </c>
      <c r="H355" s="7" t="s">
        <v>33</v>
      </c>
      <c r="N355" s="7" t="s">
        <v>19</v>
      </c>
      <c r="O355" s="7" t="s">
        <v>33</v>
      </c>
    </row>
    <row r="356" spans="7:15" x14ac:dyDescent="0.3">
      <c r="G356" s="6" t="s">
        <v>19</v>
      </c>
      <c r="H356" s="6" t="s">
        <v>33</v>
      </c>
      <c r="N356" s="6" t="s">
        <v>19</v>
      </c>
      <c r="O356" s="6" t="s">
        <v>33</v>
      </c>
    </row>
    <row r="357" spans="7:15" x14ac:dyDescent="0.3">
      <c r="G357" s="7" t="s">
        <v>19</v>
      </c>
      <c r="H357" s="7" t="s">
        <v>33</v>
      </c>
      <c r="N357" s="7" t="s">
        <v>19</v>
      </c>
      <c r="O357" s="7" t="s">
        <v>33</v>
      </c>
    </row>
    <row r="358" spans="7:15" x14ac:dyDescent="0.3">
      <c r="G358" s="6" t="s">
        <v>19</v>
      </c>
      <c r="H358" s="6" t="s">
        <v>33</v>
      </c>
      <c r="N358" s="6" t="s">
        <v>19</v>
      </c>
      <c r="O358" s="6" t="s">
        <v>33</v>
      </c>
    </row>
    <row r="359" spans="7:15" x14ac:dyDescent="0.3">
      <c r="G359" s="7" t="s">
        <v>19</v>
      </c>
      <c r="H359" s="7" t="s">
        <v>33</v>
      </c>
      <c r="N359" s="7" t="s">
        <v>19</v>
      </c>
      <c r="O359" s="7" t="s">
        <v>33</v>
      </c>
    </row>
    <row r="360" spans="7:15" x14ac:dyDescent="0.3">
      <c r="G360" s="6" t="s">
        <v>19</v>
      </c>
      <c r="H360" s="6" t="s">
        <v>33</v>
      </c>
      <c r="N360" s="6" t="s">
        <v>19</v>
      </c>
      <c r="O360" s="6" t="s">
        <v>33</v>
      </c>
    </row>
    <row r="361" spans="7:15" x14ac:dyDescent="0.3">
      <c r="G361" s="7" t="s">
        <v>19</v>
      </c>
      <c r="H361" s="7" t="s">
        <v>33</v>
      </c>
      <c r="N361" s="7" t="s">
        <v>19</v>
      </c>
      <c r="O361" s="7" t="s">
        <v>33</v>
      </c>
    </row>
    <row r="362" spans="7:15" x14ac:dyDescent="0.3">
      <c r="G362" s="6" t="s">
        <v>19</v>
      </c>
      <c r="H362" s="6" t="s">
        <v>33</v>
      </c>
      <c r="N362" s="6" t="s">
        <v>19</v>
      </c>
      <c r="O362" s="6" t="s">
        <v>33</v>
      </c>
    </row>
    <row r="363" spans="7:15" x14ac:dyDescent="0.3">
      <c r="G363" s="7" t="s">
        <v>19</v>
      </c>
      <c r="H363" s="7" t="s">
        <v>364</v>
      </c>
      <c r="N363" s="7" t="s">
        <v>19</v>
      </c>
      <c r="O363" s="7" t="s">
        <v>364</v>
      </c>
    </row>
    <row r="364" spans="7:15" x14ac:dyDescent="0.3">
      <c r="G364" s="6" t="s">
        <v>19</v>
      </c>
      <c r="H364" s="6" t="s">
        <v>158</v>
      </c>
      <c r="N364" s="6" t="s">
        <v>19</v>
      </c>
      <c r="O364" s="6" t="s">
        <v>158</v>
      </c>
    </row>
    <row r="365" spans="7:15" x14ac:dyDescent="0.3">
      <c r="G365" s="7" t="s">
        <v>19</v>
      </c>
      <c r="H365" s="7" t="s">
        <v>158</v>
      </c>
      <c r="N365" s="7" t="s">
        <v>19</v>
      </c>
      <c r="O365" s="7" t="s">
        <v>158</v>
      </c>
    </row>
    <row r="366" spans="7:15" x14ac:dyDescent="0.3">
      <c r="G366" s="6" t="s">
        <v>19</v>
      </c>
      <c r="H366" s="6" t="s">
        <v>55</v>
      </c>
      <c r="N366" s="6" t="s">
        <v>19</v>
      </c>
      <c r="O366" s="6" t="s">
        <v>55</v>
      </c>
    </row>
    <row r="367" spans="7:15" x14ac:dyDescent="0.3">
      <c r="G367" s="7" t="s">
        <v>19</v>
      </c>
      <c r="H367" s="7" t="s">
        <v>55</v>
      </c>
      <c r="N367" s="7" t="s">
        <v>19</v>
      </c>
      <c r="O367" s="7" t="s">
        <v>55</v>
      </c>
    </row>
    <row r="368" spans="7:15" x14ac:dyDescent="0.3">
      <c r="G368" s="6" t="s">
        <v>19</v>
      </c>
      <c r="H368" s="6" t="s">
        <v>55</v>
      </c>
      <c r="N368" s="6" t="s">
        <v>19</v>
      </c>
      <c r="O368" s="6" t="s">
        <v>55</v>
      </c>
    </row>
    <row r="369" spans="7:15" x14ac:dyDescent="0.3">
      <c r="G369" s="7" t="s">
        <v>19</v>
      </c>
      <c r="H369" s="7" t="s">
        <v>59</v>
      </c>
      <c r="N369" s="7" t="s">
        <v>19</v>
      </c>
      <c r="O369" s="7" t="s">
        <v>59</v>
      </c>
    </row>
    <row r="370" spans="7:15" x14ac:dyDescent="0.3">
      <c r="G370" s="6" t="s">
        <v>19</v>
      </c>
      <c r="H370" s="6" t="s">
        <v>62</v>
      </c>
      <c r="N370" s="6" t="s">
        <v>19</v>
      </c>
      <c r="O370" s="6" t="s">
        <v>62</v>
      </c>
    </row>
    <row r="371" spans="7:15" x14ac:dyDescent="0.3">
      <c r="G371" s="7" t="s">
        <v>19</v>
      </c>
      <c r="H371" s="7" t="s">
        <v>62</v>
      </c>
      <c r="N371" s="7" t="s">
        <v>19</v>
      </c>
      <c r="O371" s="7" t="s">
        <v>62</v>
      </c>
    </row>
    <row r="372" spans="7:15" x14ac:dyDescent="0.3">
      <c r="G372" s="6" t="s">
        <v>19</v>
      </c>
      <c r="H372" s="6" t="s">
        <v>62</v>
      </c>
      <c r="N372" s="6" t="s">
        <v>19</v>
      </c>
      <c r="O372" s="6" t="s">
        <v>62</v>
      </c>
    </row>
    <row r="373" spans="7:15" x14ac:dyDescent="0.3">
      <c r="G373" s="7" t="s">
        <v>19</v>
      </c>
      <c r="H373" s="7" t="s">
        <v>62</v>
      </c>
      <c r="N373" s="7" t="s">
        <v>19</v>
      </c>
      <c r="O373" s="7" t="s">
        <v>62</v>
      </c>
    </row>
    <row r="374" spans="7:15" x14ac:dyDescent="0.3">
      <c r="G374" s="6" t="s">
        <v>19</v>
      </c>
      <c r="H374" s="6" t="s">
        <v>103</v>
      </c>
      <c r="N374" s="6" t="s">
        <v>19</v>
      </c>
      <c r="O374" s="6" t="s">
        <v>103</v>
      </c>
    </row>
    <row r="375" spans="7:15" x14ac:dyDescent="0.3">
      <c r="G375" s="7" t="s">
        <v>19</v>
      </c>
      <c r="H375" s="7" t="s">
        <v>377</v>
      </c>
      <c r="N375" s="7" t="s">
        <v>19</v>
      </c>
      <c r="O375" s="7" t="s">
        <v>377</v>
      </c>
    </row>
    <row r="376" spans="7:15" x14ac:dyDescent="0.3">
      <c r="G376" s="6" t="s">
        <v>19</v>
      </c>
      <c r="H376" s="6" t="s">
        <v>113</v>
      </c>
      <c r="N376" s="6" t="s">
        <v>19</v>
      </c>
      <c r="O376" s="6" t="s">
        <v>113</v>
      </c>
    </row>
    <row r="377" spans="7:15" x14ac:dyDescent="0.3">
      <c r="G377" s="7" t="s">
        <v>19</v>
      </c>
      <c r="H377" s="7" t="s">
        <v>82</v>
      </c>
      <c r="N377" s="7" t="s">
        <v>19</v>
      </c>
      <c r="O377" s="7" t="s">
        <v>82</v>
      </c>
    </row>
    <row r="378" spans="7:15" x14ac:dyDescent="0.3">
      <c r="G378" s="6" t="s">
        <v>19</v>
      </c>
      <c r="H378" s="6" t="s">
        <v>24</v>
      </c>
      <c r="N378" s="6" t="s">
        <v>19</v>
      </c>
      <c r="O378" s="6" t="s">
        <v>24</v>
      </c>
    </row>
    <row r="379" spans="7:15" x14ac:dyDescent="0.3">
      <c r="G379" s="7" t="s">
        <v>19</v>
      </c>
      <c r="H379" s="7" t="s">
        <v>28</v>
      </c>
      <c r="N379" s="7" t="s">
        <v>19</v>
      </c>
      <c r="O379" s="7" t="s">
        <v>28</v>
      </c>
    </row>
    <row r="380" spans="7:15" x14ac:dyDescent="0.3">
      <c r="G380" s="6" t="s">
        <v>19</v>
      </c>
      <c r="H380" s="6" t="s">
        <v>28</v>
      </c>
      <c r="N380" s="6" t="s">
        <v>19</v>
      </c>
      <c r="O380" s="6" t="s">
        <v>28</v>
      </c>
    </row>
    <row r="381" spans="7:15" x14ac:dyDescent="0.3">
      <c r="G381" s="7" t="s">
        <v>19</v>
      </c>
      <c r="H381" s="7" t="s">
        <v>33</v>
      </c>
      <c r="N381" s="7" t="s">
        <v>19</v>
      </c>
      <c r="O381" s="7" t="s">
        <v>33</v>
      </c>
    </row>
    <row r="382" spans="7:15" x14ac:dyDescent="0.3">
      <c r="G382" s="6" t="s">
        <v>19</v>
      </c>
      <c r="H382" s="6" t="s">
        <v>33</v>
      </c>
      <c r="N382" s="6" t="s">
        <v>19</v>
      </c>
      <c r="O382" s="6" t="s">
        <v>33</v>
      </c>
    </row>
    <row r="383" spans="7:15" x14ac:dyDescent="0.3">
      <c r="G383" s="7" t="s">
        <v>19</v>
      </c>
      <c r="H383" s="7" t="s">
        <v>33</v>
      </c>
      <c r="N383" s="7" t="s">
        <v>19</v>
      </c>
      <c r="O383" s="7" t="s">
        <v>33</v>
      </c>
    </row>
    <row r="384" spans="7:15" x14ac:dyDescent="0.3">
      <c r="G384" s="6" t="s">
        <v>19</v>
      </c>
      <c r="H384" s="6" t="s">
        <v>33</v>
      </c>
      <c r="N384" s="6" t="s">
        <v>19</v>
      </c>
      <c r="O384" s="6" t="s">
        <v>33</v>
      </c>
    </row>
    <row r="385" spans="7:15" x14ac:dyDescent="0.3">
      <c r="G385" s="7" t="s">
        <v>19</v>
      </c>
      <c r="H385" s="7" t="s">
        <v>33</v>
      </c>
      <c r="N385" s="7" t="s">
        <v>19</v>
      </c>
      <c r="O385" s="7" t="s">
        <v>33</v>
      </c>
    </row>
    <row r="386" spans="7:15" x14ac:dyDescent="0.3">
      <c r="G386" s="6" t="s">
        <v>19</v>
      </c>
      <c r="H386" s="6" t="s">
        <v>33</v>
      </c>
      <c r="N386" s="6" t="s">
        <v>19</v>
      </c>
      <c r="O386" s="6" t="s">
        <v>33</v>
      </c>
    </row>
    <row r="387" spans="7:15" x14ac:dyDescent="0.3">
      <c r="G387" s="7" t="s">
        <v>19</v>
      </c>
      <c r="H387" s="7" t="s">
        <v>33</v>
      </c>
      <c r="N387" s="7" t="s">
        <v>19</v>
      </c>
      <c r="O387" s="7" t="s">
        <v>33</v>
      </c>
    </row>
    <row r="388" spans="7:15" x14ac:dyDescent="0.3">
      <c r="G388" s="6" t="s">
        <v>19</v>
      </c>
      <c r="H388" s="6" t="s">
        <v>33</v>
      </c>
      <c r="N388" s="6" t="s">
        <v>19</v>
      </c>
      <c r="O388" s="6" t="s">
        <v>33</v>
      </c>
    </row>
    <row r="389" spans="7:15" x14ac:dyDescent="0.3">
      <c r="G389" s="7" t="s">
        <v>19</v>
      </c>
      <c r="H389" s="7" t="s">
        <v>392</v>
      </c>
      <c r="N389" s="7" t="s">
        <v>19</v>
      </c>
      <c r="O389" s="7" t="s">
        <v>392</v>
      </c>
    </row>
    <row r="390" spans="7:15" x14ac:dyDescent="0.3">
      <c r="G390" s="6" t="s">
        <v>19</v>
      </c>
      <c r="H390" s="6" t="s">
        <v>55</v>
      </c>
      <c r="N390" s="6" t="s">
        <v>19</v>
      </c>
      <c r="O390" s="6" t="s">
        <v>55</v>
      </c>
    </row>
    <row r="391" spans="7:15" x14ac:dyDescent="0.3">
      <c r="G391" s="7" t="s">
        <v>19</v>
      </c>
      <c r="H391" s="7" t="s">
        <v>55</v>
      </c>
      <c r="N391" s="7" t="s">
        <v>19</v>
      </c>
      <c r="O391" s="7" t="s">
        <v>55</v>
      </c>
    </row>
    <row r="392" spans="7:15" x14ac:dyDescent="0.3">
      <c r="G392" s="6" t="s">
        <v>19</v>
      </c>
      <c r="H392" s="6" t="s">
        <v>55</v>
      </c>
      <c r="N392" s="6" t="s">
        <v>19</v>
      </c>
      <c r="O392" s="6" t="s">
        <v>55</v>
      </c>
    </row>
    <row r="393" spans="7:15" x14ac:dyDescent="0.3">
      <c r="G393" s="7" t="s">
        <v>19</v>
      </c>
      <c r="H393" s="7" t="s">
        <v>55</v>
      </c>
      <c r="N393" s="7" t="s">
        <v>19</v>
      </c>
      <c r="O393" s="7" t="s">
        <v>55</v>
      </c>
    </row>
    <row r="394" spans="7:15" x14ac:dyDescent="0.3">
      <c r="G394" s="6" t="s">
        <v>19</v>
      </c>
      <c r="H394" s="6" t="s">
        <v>62</v>
      </c>
      <c r="N394" s="6" t="s">
        <v>19</v>
      </c>
      <c r="O394" s="6" t="s">
        <v>62</v>
      </c>
    </row>
    <row r="395" spans="7:15" x14ac:dyDescent="0.3">
      <c r="G395" s="7" t="s">
        <v>19</v>
      </c>
      <c r="H395" s="7" t="s">
        <v>72</v>
      </c>
      <c r="N395" s="7" t="s">
        <v>19</v>
      </c>
      <c r="O395" s="7" t="s">
        <v>72</v>
      </c>
    </row>
    <row r="396" spans="7:15" x14ac:dyDescent="0.3">
      <c r="G396" s="6" t="s">
        <v>19</v>
      </c>
      <c r="H396" s="6" t="s">
        <v>77</v>
      </c>
      <c r="N396" s="6" t="s">
        <v>19</v>
      </c>
      <c r="O396" s="6" t="s">
        <v>77</v>
      </c>
    </row>
    <row r="397" spans="7:15" x14ac:dyDescent="0.3">
      <c r="G397" s="7" t="s">
        <v>19</v>
      </c>
      <c r="H397" s="7" t="s">
        <v>77</v>
      </c>
      <c r="N397" s="7" t="s">
        <v>19</v>
      </c>
      <c r="O397" s="7" t="s">
        <v>77</v>
      </c>
    </row>
    <row r="398" spans="7:15" x14ac:dyDescent="0.3">
      <c r="G398" s="6" t="s">
        <v>19</v>
      </c>
      <c r="H398" s="6" t="s">
        <v>115</v>
      </c>
      <c r="N398" s="6" t="s">
        <v>19</v>
      </c>
      <c r="O398" s="6" t="s">
        <v>115</v>
      </c>
    </row>
    <row r="399" spans="7:15" x14ac:dyDescent="0.3">
      <c r="G399" s="7" t="s">
        <v>19</v>
      </c>
      <c r="H399" s="7" t="s">
        <v>24</v>
      </c>
      <c r="N399" s="7" t="s">
        <v>19</v>
      </c>
      <c r="O399" s="7" t="s">
        <v>24</v>
      </c>
    </row>
    <row r="400" spans="7:15" x14ac:dyDescent="0.3">
      <c r="G400" s="6" t="s">
        <v>19</v>
      </c>
      <c r="H400" s="6" t="s">
        <v>147</v>
      </c>
      <c r="N400" s="6" t="s">
        <v>19</v>
      </c>
      <c r="O400" s="6" t="s">
        <v>147</v>
      </c>
    </row>
    <row r="401" spans="7:15" x14ac:dyDescent="0.3">
      <c r="G401" s="7" t="s">
        <v>19</v>
      </c>
      <c r="H401" s="7" t="s">
        <v>147</v>
      </c>
      <c r="N401" s="7" t="s">
        <v>19</v>
      </c>
      <c r="O401" s="7" t="s">
        <v>147</v>
      </c>
    </row>
    <row r="402" spans="7:15" x14ac:dyDescent="0.3">
      <c r="G402" s="6" t="s">
        <v>19</v>
      </c>
      <c r="H402" s="6" t="s">
        <v>33</v>
      </c>
      <c r="N402" s="6" t="s">
        <v>19</v>
      </c>
      <c r="O402" s="6" t="s">
        <v>33</v>
      </c>
    </row>
    <row r="403" spans="7:15" x14ac:dyDescent="0.3">
      <c r="G403" s="7" t="s">
        <v>19</v>
      </c>
      <c r="H403" s="7" t="s">
        <v>33</v>
      </c>
      <c r="N403" s="7" t="s">
        <v>19</v>
      </c>
      <c r="O403" s="7" t="s">
        <v>33</v>
      </c>
    </row>
    <row r="404" spans="7:15" x14ac:dyDescent="0.3">
      <c r="G404" s="6" t="s">
        <v>19</v>
      </c>
      <c r="H404" s="6" t="s">
        <v>33</v>
      </c>
      <c r="N404" s="6" t="s">
        <v>19</v>
      </c>
      <c r="O404" s="6" t="s">
        <v>33</v>
      </c>
    </row>
    <row r="405" spans="7:15" x14ac:dyDescent="0.3">
      <c r="G405" s="7" t="s">
        <v>19</v>
      </c>
      <c r="H405" s="7" t="s">
        <v>33</v>
      </c>
      <c r="N405" s="7" t="s">
        <v>19</v>
      </c>
      <c r="O405" s="7" t="s">
        <v>33</v>
      </c>
    </row>
    <row r="406" spans="7:15" x14ac:dyDescent="0.3">
      <c r="G406" s="6" t="s">
        <v>19</v>
      </c>
      <c r="H406" s="6" t="s">
        <v>33</v>
      </c>
      <c r="N406" s="6" t="s">
        <v>19</v>
      </c>
      <c r="O406" s="6" t="s">
        <v>33</v>
      </c>
    </row>
    <row r="407" spans="7:15" x14ac:dyDescent="0.3">
      <c r="G407" s="7" t="s">
        <v>19</v>
      </c>
      <c r="H407" s="7" t="s">
        <v>33</v>
      </c>
      <c r="N407" s="7" t="s">
        <v>19</v>
      </c>
      <c r="O407" s="7" t="s">
        <v>33</v>
      </c>
    </row>
    <row r="408" spans="7:15" x14ac:dyDescent="0.3">
      <c r="G408" s="6" t="s">
        <v>19</v>
      </c>
      <c r="H408" s="6" t="s">
        <v>33</v>
      </c>
      <c r="N408" s="6" t="s">
        <v>19</v>
      </c>
      <c r="O408" s="6" t="s">
        <v>33</v>
      </c>
    </row>
    <row r="409" spans="7:15" x14ac:dyDescent="0.3">
      <c r="G409" s="7" t="s">
        <v>19</v>
      </c>
      <c r="H409" s="7" t="s">
        <v>33</v>
      </c>
      <c r="N409" s="7" t="s">
        <v>19</v>
      </c>
      <c r="O409" s="7" t="s">
        <v>33</v>
      </c>
    </row>
    <row r="410" spans="7:15" x14ac:dyDescent="0.3">
      <c r="G410" s="6" t="s">
        <v>19</v>
      </c>
      <c r="H410" s="6" t="s">
        <v>33</v>
      </c>
      <c r="N410" s="6" t="s">
        <v>19</v>
      </c>
      <c r="O410" s="6" t="s">
        <v>33</v>
      </c>
    </row>
    <row r="411" spans="7:15" x14ac:dyDescent="0.3">
      <c r="G411" s="7" t="s">
        <v>19</v>
      </c>
      <c r="H411" s="7" t="s">
        <v>33</v>
      </c>
      <c r="N411" s="7" t="s">
        <v>19</v>
      </c>
      <c r="O411" s="7" t="s">
        <v>33</v>
      </c>
    </row>
    <row r="412" spans="7:15" x14ac:dyDescent="0.3">
      <c r="G412" s="6" t="s">
        <v>19</v>
      </c>
      <c r="H412" s="6" t="s">
        <v>416</v>
      </c>
      <c r="N412" s="6" t="s">
        <v>19</v>
      </c>
      <c r="O412" s="6" t="s">
        <v>416</v>
      </c>
    </row>
    <row r="413" spans="7:15" x14ac:dyDescent="0.3">
      <c r="G413" s="7" t="s">
        <v>19</v>
      </c>
      <c r="H413" s="7" t="s">
        <v>98</v>
      </c>
      <c r="N413" s="7" t="s">
        <v>19</v>
      </c>
      <c r="O413" s="7" t="s">
        <v>98</v>
      </c>
    </row>
    <row r="414" spans="7:15" x14ac:dyDescent="0.3">
      <c r="G414" s="6" t="s">
        <v>19</v>
      </c>
      <c r="H414" s="6" t="s">
        <v>55</v>
      </c>
      <c r="N414" s="6" t="s">
        <v>19</v>
      </c>
      <c r="O414" s="6" t="s">
        <v>55</v>
      </c>
    </row>
    <row r="415" spans="7:15" x14ac:dyDescent="0.3">
      <c r="G415" s="7" t="s">
        <v>19</v>
      </c>
      <c r="H415" s="7" t="s">
        <v>62</v>
      </c>
      <c r="N415" s="7" t="s">
        <v>19</v>
      </c>
      <c r="O415" s="7" t="s">
        <v>62</v>
      </c>
    </row>
    <row r="416" spans="7:15" x14ac:dyDescent="0.3">
      <c r="G416" s="6" t="s">
        <v>19</v>
      </c>
      <c r="H416" s="6" t="s">
        <v>62</v>
      </c>
      <c r="N416" s="6" t="s">
        <v>19</v>
      </c>
      <c r="O416" s="6" t="s">
        <v>62</v>
      </c>
    </row>
    <row r="417" spans="7:15" x14ac:dyDescent="0.3">
      <c r="G417" s="7" t="s">
        <v>19</v>
      </c>
      <c r="H417" s="7" t="s">
        <v>62</v>
      </c>
      <c r="N417" s="7" t="s">
        <v>19</v>
      </c>
      <c r="O417" s="7" t="s">
        <v>62</v>
      </c>
    </row>
    <row r="418" spans="7:15" x14ac:dyDescent="0.3">
      <c r="G418" s="6" t="s">
        <v>19</v>
      </c>
      <c r="H418" s="6" t="s">
        <v>62</v>
      </c>
      <c r="N418" s="6" t="s">
        <v>19</v>
      </c>
      <c r="O418" s="6" t="s">
        <v>62</v>
      </c>
    </row>
    <row r="419" spans="7:15" x14ac:dyDescent="0.3">
      <c r="G419" s="7" t="s">
        <v>19</v>
      </c>
      <c r="H419" s="7" t="s">
        <v>62</v>
      </c>
      <c r="N419" s="7" t="s">
        <v>19</v>
      </c>
      <c r="O419" s="7" t="s">
        <v>62</v>
      </c>
    </row>
    <row r="420" spans="7:15" x14ac:dyDescent="0.3">
      <c r="G420" s="6" t="s">
        <v>19</v>
      </c>
      <c r="H420" s="6" t="s">
        <v>62</v>
      </c>
      <c r="N420" s="6" t="s">
        <v>19</v>
      </c>
      <c r="O420" s="6" t="s">
        <v>62</v>
      </c>
    </row>
    <row r="421" spans="7:15" x14ac:dyDescent="0.3">
      <c r="G421" s="7" t="s">
        <v>19</v>
      </c>
      <c r="H421" s="7" t="s">
        <v>62</v>
      </c>
      <c r="N421" s="7" t="s">
        <v>19</v>
      </c>
      <c r="O421" s="7" t="s">
        <v>62</v>
      </c>
    </row>
    <row r="422" spans="7:15" x14ac:dyDescent="0.3">
      <c r="G422" s="6" t="s">
        <v>19</v>
      </c>
      <c r="H422" s="6" t="s">
        <v>62</v>
      </c>
      <c r="N422" s="6" t="s">
        <v>19</v>
      </c>
      <c r="O422" s="6" t="s">
        <v>62</v>
      </c>
    </row>
    <row r="423" spans="7:15" x14ac:dyDescent="0.3">
      <c r="G423" s="7" t="s">
        <v>19</v>
      </c>
      <c r="H423" s="7" t="s">
        <v>103</v>
      </c>
      <c r="N423" s="7" t="s">
        <v>19</v>
      </c>
      <c r="O423" s="7" t="s">
        <v>103</v>
      </c>
    </row>
    <row r="424" spans="7:15" x14ac:dyDescent="0.3">
      <c r="G424" s="6" t="s">
        <v>19</v>
      </c>
      <c r="H424" s="6" t="s">
        <v>429</v>
      </c>
      <c r="N424" s="6" t="s">
        <v>19</v>
      </c>
      <c r="O424" s="6" t="s">
        <v>429</v>
      </c>
    </row>
    <row r="425" spans="7:15" x14ac:dyDescent="0.3">
      <c r="G425" s="7" t="s">
        <v>19</v>
      </c>
      <c r="H425" s="7" t="s">
        <v>115</v>
      </c>
      <c r="N425" s="7" t="s">
        <v>19</v>
      </c>
      <c r="O425" s="7" t="s">
        <v>115</v>
      </c>
    </row>
    <row r="426" spans="7:15" x14ac:dyDescent="0.3">
      <c r="G426" s="6" t="s">
        <v>19</v>
      </c>
      <c r="H426" s="6" t="s">
        <v>115</v>
      </c>
      <c r="N426" s="6" t="s">
        <v>19</v>
      </c>
      <c r="O426" s="6" t="s">
        <v>115</v>
      </c>
    </row>
    <row r="427" spans="7:15" x14ac:dyDescent="0.3">
      <c r="G427" s="7" t="s">
        <v>19</v>
      </c>
      <c r="H427" s="7" t="s">
        <v>115</v>
      </c>
      <c r="N427" s="7" t="s">
        <v>19</v>
      </c>
      <c r="O427" s="7" t="s">
        <v>115</v>
      </c>
    </row>
    <row r="428" spans="7:15" x14ac:dyDescent="0.3">
      <c r="G428" s="6" t="s">
        <v>19</v>
      </c>
      <c r="H428" s="6" t="s">
        <v>115</v>
      </c>
      <c r="N428" s="6" t="s">
        <v>19</v>
      </c>
      <c r="O428" s="6" t="s">
        <v>115</v>
      </c>
    </row>
    <row r="429" spans="7:15" x14ac:dyDescent="0.3">
      <c r="G429" s="7" t="s">
        <v>19</v>
      </c>
      <c r="H429" s="7" t="s">
        <v>24</v>
      </c>
      <c r="N429" s="7" t="s">
        <v>19</v>
      </c>
      <c r="O429" s="7" t="s">
        <v>24</v>
      </c>
    </row>
    <row r="430" spans="7:15" x14ac:dyDescent="0.3">
      <c r="G430" s="6" t="s">
        <v>19</v>
      </c>
      <c r="H430" s="6" t="s">
        <v>24</v>
      </c>
      <c r="N430" s="6" t="s">
        <v>19</v>
      </c>
      <c r="O430" s="6" t="s">
        <v>24</v>
      </c>
    </row>
    <row r="431" spans="7:15" x14ac:dyDescent="0.3">
      <c r="G431" s="7" t="s">
        <v>19</v>
      </c>
      <c r="H431" s="7" t="s">
        <v>437</v>
      </c>
      <c r="N431" s="7" t="s">
        <v>19</v>
      </c>
      <c r="O431" s="7" t="s">
        <v>437</v>
      </c>
    </row>
    <row r="432" spans="7:15" x14ac:dyDescent="0.3">
      <c r="G432" s="6" t="s">
        <v>19</v>
      </c>
      <c r="H432" s="6" t="s">
        <v>28</v>
      </c>
      <c r="N432" s="6" t="s">
        <v>19</v>
      </c>
      <c r="O432" s="6" t="s">
        <v>28</v>
      </c>
    </row>
    <row r="433" spans="7:15" x14ac:dyDescent="0.3">
      <c r="G433" s="7" t="s">
        <v>19</v>
      </c>
      <c r="H433" s="7" t="s">
        <v>33</v>
      </c>
      <c r="N433" s="7" t="s">
        <v>19</v>
      </c>
      <c r="O433" s="7" t="s">
        <v>33</v>
      </c>
    </row>
    <row r="434" spans="7:15" x14ac:dyDescent="0.3">
      <c r="G434" s="6" t="s">
        <v>19</v>
      </c>
      <c r="H434" s="6" t="s">
        <v>33</v>
      </c>
      <c r="N434" s="6" t="s">
        <v>19</v>
      </c>
      <c r="O434" s="6" t="s">
        <v>33</v>
      </c>
    </row>
    <row r="435" spans="7:15" x14ac:dyDescent="0.3">
      <c r="G435" s="7" t="s">
        <v>19</v>
      </c>
      <c r="H435" s="7" t="s">
        <v>33</v>
      </c>
      <c r="N435" s="7" t="s">
        <v>19</v>
      </c>
      <c r="O435" s="7" t="s">
        <v>33</v>
      </c>
    </row>
    <row r="436" spans="7:15" x14ac:dyDescent="0.3">
      <c r="G436" s="6" t="s">
        <v>19</v>
      </c>
      <c r="H436" s="6" t="s">
        <v>33</v>
      </c>
      <c r="N436" s="6" t="s">
        <v>19</v>
      </c>
      <c r="O436" s="6" t="s">
        <v>33</v>
      </c>
    </row>
    <row r="437" spans="7:15" x14ac:dyDescent="0.3">
      <c r="G437" s="7" t="s">
        <v>19</v>
      </c>
      <c r="H437" s="7" t="s">
        <v>33</v>
      </c>
      <c r="N437" s="7" t="s">
        <v>19</v>
      </c>
      <c r="O437" s="7" t="s">
        <v>33</v>
      </c>
    </row>
    <row r="438" spans="7:15" x14ac:dyDescent="0.3">
      <c r="G438" s="6" t="s">
        <v>19</v>
      </c>
      <c r="H438" s="6" t="s">
        <v>33</v>
      </c>
      <c r="N438" s="6" t="s">
        <v>19</v>
      </c>
      <c r="O438" s="6" t="s">
        <v>33</v>
      </c>
    </row>
    <row r="439" spans="7:15" x14ac:dyDescent="0.3">
      <c r="G439" s="7" t="s">
        <v>19</v>
      </c>
      <c r="H439" s="7" t="s">
        <v>33</v>
      </c>
      <c r="N439" s="7" t="s">
        <v>19</v>
      </c>
      <c r="O439" s="7" t="s">
        <v>33</v>
      </c>
    </row>
    <row r="440" spans="7:15" x14ac:dyDescent="0.3">
      <c r="G440" s="6" t="s">
        <v>19</v>
      </c>
      <c r="H440" s="6" t="s">
        <v>33</v>
      </c>
      <c r="N440" s="6" t="s">
        <v>19</v>
      </c>
      <c r="O440" s="6" t="s">
        <v>33</v>
      </c>
    </row>
    <row r="441" spans="7:15" x14ac:dyDescent="0.3">
      <c r="G441" s="7" t="s">
        <v>19</v>
      </c>
      <c r="H441" s="7" t="s">
        <v>33</v>
      </c>
      <c r="N441" s="7" t="s">
        <v>19</v>
      </c>
      <c r="O441" s="7" t="s">
        <v>33</v>
      </c>
    </row>
    <row r="442" spans="7:15" x14ac:dyDescent="0.3">
      <c r="G442" s="6" t="s">
        <v>19</v>
      </c>
      <c r="H442" s="6" t="s">
        <v>33</v>
      </c>
      <c r="N442" s="6" t="s">
        <v>19</v>
      </c>
      <c r="O442" s="6" t="s">
        <v>33</v>
      </c>
    </row>
    <row r="443" spans="7:15" x14ac:dyDescent="0.3">
      <c r="G443" s="7" t="s">
        <v>19</v>
      </c>
      <c r="H443" s="7" t="s">
        <v>186</v>
      </c>
      <c r="N443" s="7" t="s">
        <v>19</v>
      </c>
      <c r="O443" s="7" t="s">
        <v>186</v>
      </c>
    </row>
    <row r="444" spans="7:15" x14ac:dyDescent="0.3">
      <c r="G444" s="6" t="s">
        <v>19</v>
      </c>
      <c r="H444" s="6" t="s">
        <v>55</v>
      </c>
      <c r="N444" s="6" t="s">
        <v>19</v>
      </c>
      <c r="O444" s="6" t="s">
        <v>55</v>
      </c>
    </row>
    <row r="445" spans="7:15" x14ac:dyDescent="0.3">
      <c r="G445" s="7" t="s">
        <v>19</v>
      </c>
      <c r="H445" s="7" t="s">
        <v>55</v>
      </c>
      <c r="N445" s="7" t="s">
        <v>19</v>
      </c>
      <c r="O445" s="7" t="s">
        <v>55</v>
      </c>
    </row>
    <row r="446" spans="7:15" x14ac:dyDescent="0.3">
      <c r="G446" s="6" t="s">
        <v>19</v>
      </c>
      <c r="H446" s="6" t="s">
        <v>62</v>
      </c>
      <c r="N446" s="6" t="s">
        <v>19</v>
      </c>
      <c r="O446" s="6" t="s">
        <v>62</v>
      </c>
    </row>
    <row r="447" spans="7:15" x14ac:dyDescent="0.3">
      <c r="G447" s="7" t="s">
        <v>19</v>
      </c>
      <c r="H447" s="7" t="s">
        <v>62</v>
      </c>
      <c r="N447" s="7" t="s">
        <v>19</v>
      </c>
      <c r="O447" s="7" t="s">
        <v>62</v>
      </c>
    </row>
    <row r="448" spans="7:15" x14ac:dyDescent="0.3">
      <c r="G448" s="6" t="s">
        <v>19</v>
      </c>
      <c r="H448" s="6" t="s">
        <v>62</v>
      </c>
      <c r="N448" s="6" t="s">
        <v>19</v>
      </c>
      <c r="O448" s="6" t="s">
        <v>62</v>
      </c>
    </row>
    <row r="449" spans="7:15" x14ac:dyDescent="0.3">
      <c r="G449" s="7" t="s">
        <v>19</v>
      </c>
      <c r="H449" s="7" t="s">
        <v>72</v>
      </c>
      <c r="N449" s="7" t="s">
        <v>19</v>
      </c>
      <c r="O449" s="7" t="s">
        <v>72</v>
      </c>
    </row>
    <row r="450" spans="7:15" x14ac:dyDescent="0.3">
      <c r="G450" s="6" t="s">
        <v>19</v>
      </c>
      <c r="H450" s="6" t="s">
        <v>74</v>
      </c>
      <c r="N450" s="6" t="s">
        <v>19</v>
      </c>
      <c r="O450" s="6" t="s">
        <v>74</v>
      </c>
    </row>
    <row r="451" spans="7:15" x14ac:dyDescent="0.3">
      <c r="G451" s="7" t="s">
        <v>19</v>
      </c>
      <c r="H451" s="7" t="s">
        <v>77</v>
      </c>
      <c r="N451" s="7" t="s">
        <v>19</v>
      </c>
      <c r="O451" s="7" t="s">
        <v>77</v>
      </c>
    </row>
    <row r="452" spans="7:15" x14ac:dyDescent="0.3">
      <c r="G452" s="6" t="s">
        <v>19</v>
      </c>
      <c r="H452" s="6" t="s">
        <v>108</v>
      </c>
      <c r="N452" s="6" t="s">
        <v>19</v>
      </c>
      <c r="O452" s="6" t="s">
        <v>108</v>
      </c>
    </row>
    <row r="453" spans="7:15" x14ac:dyDescent="0.3">
      <c r="G453" s="7" t="s">
        <v>19</v>
      </c>
      <c r="H453" s="7" t="s">
        <v>115</v>
      </c>
      <c r="N453" s="7" t="s">
        <v>19</v>
      </c>
      <c r="O453" s="7" t="s">
        <v>115</v>
      </c>
    </row>
    <row r="454" spans="7:15" x14ac:dyDescent="0.3">
      <c r="G454" s="6" t="s">
        <v>19</v>
      </c>
      <c r="H454" s="6" t="s">
        <v>24</v>
      </c>
      <c r="N454" s="6" t="s">
        <v>19</v>
      </c>
      <c r="O454" s="6" t="s">
        <v>24</v>
      </c>
    </row>
    <row r="455" spans="7:15" x14ac:dyDescent="0.3">
      <c r="G455" s="7" t="s">
        <v>19</v>
      </c>
      <c r="H455" s="7" t="s">
        <v>33</v>
      </c>
      <c r="N455" s="7" t="s">
        <v>19</v>
      </c>
      <c r="O455" s="7" t="s">
        <v>33</v>
      </c>
    </row>
    <row r="456" spans="7:15" x14ac:dyDescent="0.3">
      <c r="G456" s="6" t="s">
        <v>19</v>
      </c>
      <c r="H456" s="6" t="s">
        <v>33</v>
      </c>
      <c r="N456" s="6" t="s">
        <v>19</v>
      </c>
      <c r="O456" s="6" t="s">
        <v>33</v>
      </c>
    </row>
    <row r="457" spans="7:15" x14ac:dyDescent="0.3">
      <c r="G457" s="7" t="s">
        <v>19</v>
      </c>
      <c r="H457" s="7" t="s">
        <v>33</v>
      </c>
      <c r="N457" s="7" t="s">
        <v>19</v>
      </c>
      <c r="O457" s="7" t="s">
        <v>33</v>
      </c>
    </row>
    <row r="458" spans="7:15" x14ac:dyDescent="0.3">
      <c r="G458" s="6" t="s">
        <v>19</v>
      </c>
      <c r="H458" s="6" t="s">
        <v>33</v>
      </c>
      <c r="N458" s="6" t="s">
        <v>19</v>
      </c>
      <c r="O458" s="6" t="s">
        <v>33</v>
      </c>
    </row>
    <row r="459" spans="7:15" x14ac:dyDescent="0.3">
      <c r="G459" s="7" t="s">
        <v>19</v>
      </c>
      <c r="H459" s="7" t="s">
        <v>33</v>
      </c>
      <c r="N459" s="7" t="s">
        <v>19</v>
      </c>
      <c r="O459" s="7" t="s">
        <v>33</v>
      </c>
    </row>
    <row r="460" spans="7:15" x14ac:dyDescent="0.3">
      <c r="G460" s="6" t="s">
        <v>19</v>
      </c>
      <c r="H460" s="6" t="s">
        <v>33</v>
      </c>
      <c r="N460" s="6" t="s">
        <v>19</v>
      </c>
      <c r="O460" s="6" t="s">
        <v>33</v>
      </c>
    </row>
    <row r="461" spans="7:15" x14ac:dyDescent="0.3">
      <c r="G461" s="7" t="s">
        <v>19</v>
      </c>
      <c r="H461" s="7" t="s">
        <v>33</v>
      </c>
      <c r="N461" s="7" t="s">
        <v>19</v>
      </c>
      <c r="O461" s="7" t="s">
        <v>33</v>
      </c>
    </row>
    <row r="462" spans="7:15" x14ac:dyDescent="0.3">
      <c r="G462" s="6" t="s">
        <v>19</v>
      </c>
      <c r="H462" s="6" t="s">
        <v>33</v>
      </c>
      <c r="N462" s="6" t="s">
        <v>19</v>
      </c>
      <c r="O462" s="6" t="s">
        <v>33</v>
      </c>
    </row>
    <row r="463" spans="7:15" x14ac:dyDescent="0.3">
      <c r="G463" s="7" t="s">
        <v>19</v>
      </c>
      <c r="H463" s="7" t="s">
        <v>33</v>
      </c>
      <c r="N463" s="7" t="s">
        <v>19</v>
      </c>
      <c r="O463" s="7" t="s">
        <v>33</v>
      </c>
    </row>
    <row r="464" spans="7:15" x14ac:dyDescent="0.3">
      <c r="G464" s="6" t="s">
        <v>19</v>
      </c>
      <c r="H464" s="6" t="s">
        <v>55</v>
      </c>
      <c r="N464" s="6" t="s">
        <v>19</v>
      </c>
      <c r="O464" s="6" t="s">
        <v>55</v>
      </c>
    </row>
    <row r="465" spans="7:15" x14ac:dyDescent="0.3">
      <c r="G465" s="7" t="s">
        <v>19</v>
      </c>
      <c r="H465" s="7" t="s">
        <v>55</v>
      </c>
      <c r="N465" s="7" t="s">
        <v>19</v>
      </c>
      <c r="O465" s="7" t="s">
        <v>55</v>
      </c>
    </row>
    <row r="466" spans="7:15" x14ac:dyDescent="0.3">
      <c r="G466" s="6" t="s">
        <v>19</v>
      </c>
      <c r="H466" s="6" t="s">
        <v>59</v>
      </c>
      <c r="N466" s="6" t="s">
        <v>19</v>
      </c>
      <c r="O466" s="6" t="s">
        <v>59</v>
      </c>
    </row>
    <row r="467" spans="7:15" x14ac:dyDescent="0.3">
      <c r="G467" s="7" t="s">
        <v>19</v>
      </c>
      <c r="H467" s="7" t="s">
        <v>59</v>
      </c>
      <c r="N467" s="7" t="s">
        <v>19</v>
      </c>
      <c r="O467" s="7" t="s">
        <v>59</v>
      </c>
    </row>
    <row r="468" spans="7:15" x14ac:dyDescent="0.3">
      <c r="G468" s="6" t="s">
        <v>19</v>
      </c>
      <c r="H468" s="6" t="s">
        <v>59</v>
      </c>
      <c r="N468" s="6" t="s">
        <v>19</v>
      </c>
      <c r="O468" s="6" t="s">
        <v>59</v>
      </c>
    </row>
    <row r="469" spans="7:15" x14ac:dyDescent="0.3">
      <c r="G469" s="7" t="s">
        <v>19</v>
      </c>
      <c r="H469" s="7" t="s">
        <v>62</v>
      </c>
      <c r="N469" s="7" t="s">
        <v>19</v>
      </c>
      <c r="O469" s="7" t="s">
        <v>62</v>
      </c>
    </row>
    <row r="470" spans="7:15" x14ac:dyDescent="0.3">
      <c r="G470" s="6" t="s">
        <v>19</v>
      </c>
      <c r="H470" s="6" t="s">
        <v>62</v>
      </c>
      <c r="N470" s="6" t="s">
        <v>19</v>
      </c>
      <c r="O470" s="6" t="s">
        <v>62</v>
      </c>
    </row>
    <row r="471" spans="7:15" x14ac:dyDescent="0.3">
      <c r="G471" s="7" t="s">
        <v>19</v>
      </c>
      <c r="H471" s="7" t="s">
        <v>62</v>
      </c>
      <c r="N471" s="7" t="s">
        <v>19</v>
      </c>
      <c r="O471" s="7" t="s">
        <v>62</v>
      </c>
    </row>
    <row r="472" spans="7:15" x14ac:dyDescent="0.3">
      <c r="G472" s="6" t="s">
        <v>19</v>
      </c>
      <c r="H472" s="6" t="s">
        <v>103</v>
      </c>
      <c r="N472" s="6" t="s">
        <v>19</v>
      </c>
      <c r="O472" s="6" t="s">
        <v>103</v>
      </c>
    </row>
    <row r="473" spans="7:15" x14ac:dyDescent="0.3">
      <c r="G473" s="7" t="s">
        <v>19</v>
      </c>
      <c r="H473" s="7" t="s">
        <v>77</v>
      </c>
      <c r="N473" s="7" t="s">
        <v>19</v>
      </c>
      <c r="O473" s="7" t="s">
        <v>77</v>
      </c>
    </row>
    <row r="474" spans="7:15" x14ac:dyDescent="0.3">
      <c r="G474" s="6" t="s">
        <v>19</v>
      </c>
      <c r="H474" s="6" t="s">
        <v>108</v>
      </c>
      <c r="N474" s="6" t="s">
        <v>19</v>
      </c>
      <c r="O474" s="6" t="s">
        <v>108</v>
      </c>
    </row>
    <row r="475" spans="7:15" x14ac:dyDescent="0.3">
      <c r="G475" s="7" t="s">
        <v>19</v>
      </c>
      <c r="H475" s="7" t="s">
        <v>82</v>
      </c>
      <c r="N475" s="7" t="s">
        <v>19</v>
      </c>
      <c r="O475" s="7" t="s">
        <v>82</v>
      </c>
    </row>
    <row r="476" spans="7:15" x14ac:dyDescent="0.3">
      <c r="G476" s="6" t="s">
        <v>19</v>
      </c>
      <c r="H476" s="6" t="s">
        <v>115</v>
      </c>
      <c r="N476" s="6" t="s">
        <v>19</v>
      </c>
      <c r="O476" s="6" t="s">
        <v>115</v>
      </c>
    </row>
    <row r="477" spans="7:15" x14ac:dyDescent="0.3">
      <c r="G477" s="7" t="s">
        <v>19</v>
      </c>
      <c r="H477" s="7" t="s">
        <v>115</v>
      </c>
      <c r="N477" s="7" t="s">
        <v>19</v>
      </c>
      <c r="O477" s="7" t="s">
        <v>115</v>
      </c>
    </row>
    <row r="478" spans="7:15" x14ac:dyDescent="0.3">
      <c r="G478" s="6" t="s">
        <v>19</v>
      </c>
      <c r="H478" s="6" t="s">
        <v>115</v>
      </c>
      <c r="N478" s="6" t="s">
        <v>19</v>
      </c>
      <c r="O478" s="6" t="s">
        <v>115</v>
      </c>
    </row>
    <row r="479" spans="7:15" x14ac:dyDescent="0.3">
      <c r="G479" s="7" t="s">
        <v>19</v>
      </c>
      <c r="H479" s="7" t="s">
        <v>24</v>
      </c>
      <c r="N479" s="7" t="s">
        <v>19</v>
      </c>
      <c r="O479" s="7" t="s">
        <v>24</v>
      </c>
    </row>
    <row r="480" spans="7:15" x14ac:dyDescent="0.3">
      <c r="G480" s="6" t="s">
        <v>19</v>
      </c>
      <c r="H480" s="6" t="s">
        <v>334</v>
      </c>
      <c r="N480" s="6" t="s">
        <v>19</v>
      </c>
      <c r="O480" s="6" t="s">
        <v>334</v>
      </c>
    </row>
    <row r="481" spans="7:15" x14ac:dyDescent="0.3">
      <c r="G481" s="7" t="s">
        <v>19</v>
      </c>
      <c r="H481" s="7" t="s">
        <v>33</v>
      </c>
      <c r="N481" s="7" t="s">
        <v>19</v>
      </c>
      <c r="O481" s="7" t="s">
        <v>33</v>
      </c>
    </row>
    <row r="482" spans="7:15" x14ac:dyDescent="0.3">
      <c r="G482" s="6" t="s">
        <v>19</v>
      </c>
      <c r="H482" s="6" t="s">
        <v>33</v>
      </c>
      <c r="N482" s="6" t="s">
        <v>19</v>
      </c>
      <c r="O482" s="6" t="s">
        <v>33</v>
      </c>
    </row>
    <row r="483" spans="7:15" x14ac:dyDescent="0.3">
      <c r="G483" s="7" t="s">
        <v>19</v>
      </c>
      <c r="H483" s="7" t="s">
        <v>33</v>
      </c>
      <c r="N483" s="7" t="s">
        <v>19</v>
      </c>
      <c r="O483" s="7" t="s">
        <v>33</v>
      </c>
    </row>
    <row r="484" spans="7:15" x14ac:dyDescent="0.3">
      <c r="G484" s="6" t="s">
        <v>19</v>
      </c>
      <c r="H484" s="6" t="s">
        <v>33</v>
      </c>
      <c r="N484" s="6" t="s">
        <v>19</v>
      </c>
      <c r="O484" s="6" t="s">
        <v>33</v>
      </c>
    </row>
    <row r="485" spans="7:15" x14ac:dyDescent="0.3">
      <c r="G485" s="7" t="s">
        <v>19</v>
      </c>
      <c r="H485" s="7" t="s">
        <v>33</v>
      </c>
      <c r="N485" s="7" t="s">
        <v>19</v>
      </c>
      <c r="O485" s="7" t="s">
        <v>33</v>
      </c>
    </row>
    <row r="486" spans="7:15" x14ac:dyDescent="0.3">
      <c r="G486" s="6" t="s">
        <v>19</v>
      </c>
      <c r="H486" s="6" t="s">
        <v>55</v>
      </c>
      <c r="N486" s="6" t="s">
        <v>19</v>
      </c>
      <c r="O486" s="6" t="s">
        <v>55</v>
      </c>
    </row>
    <row r="487" spans="7:15" x14ac:dyDescent="0.3">
      <c r="G487" s="7" t="s">
        <v>19</v>
      </c>
      <c r="H487" s="7" t="s">
        <v>55</v>
      </c>
      <c r="N487" s="7" t="s">
        <v>19</v>
      </c>
      <c r="O487" s="7" t="s">
        <v>55</v>
      </c>
    </row>
    <row r="488" spans="7:15" x14ac:dyDescent="0.3">
      <c r="G488" s="6" t="s">
        <v>19</v>
      </c>
      <c r="H488" s="6" t="s">
        <v>62</v>
      </c>
      <c r="N488" s="6" t="s">
        <v>19</v>
      </c>
      <c r="O488" s="6" t="s">
        <v>62</v>
      </c>
    </row>
    <row r="489" spans="7:15" x14ac:dyDescent="0.3">
      <c r="G489" s="7" t="s">
        <v>19</v>
      </c>
      <c r="H489" s="7" t="s">
        <v>62</v>
      </c>
      <c r="N489" s="7" t="s">
        <v>19</v>
      </c>
      <c r="O489" s="7" t="s">
        <v>62</v>
      </c>
    </row>
    <row r="490" spans="7:15" x14ac:dyDescent="0.3">
      <c r="G490" s="6" t="s">
        <v>19</v>
      </c>
      <c r="H490" s="6" t="s">
        <v>62</v>
      </c>
      <c r="N490" s="6" t="s">
        <v>19</v>
      </c>
      <c r="O490" s="6" t="s">
        <v>62</v>
      </c>
    </row>
    <row r="491" spans="7:15" x14ac:dyDescent="0.3">
      <c r="G491" s="7" t="s">
        <v>19</v>
      </c>
      <c r="H491" s="7" t="s">
        <v>72</v>
      </c>
      <c r="N491" s="7" t="s">
        <v>19</v>
      </c>
      <c r="O491" s="7" t="s">
        <v>72</v>
      </c>
    </row>
    <row r="492" spans="7:15" x14ac:dyDescent="0.3">
      <c r="G492" s="6" t="s">
        <v>19</v>
      </c>
      <c r="H492" s="6" t="s">
        <v>77</v>
      </c>
      <c r="N492" s="6" t="s">
        <v>19</v>
      </c>
      <c r="O492" s="6" t="s">
        <v>77</v>
      </c>
    </row>
    <row r="493" spans="7:15" x14ac:dyDescent="0.3">
      <c r="G493" s="7" t="s">
        <v>19</v>
      </c>
      <c r="H493" s="7" t="s">
        <v>309</v>
      </c>
      <c r="N493" s="7" t="s">
        <v>19</v>
      </c>
      <c r="O493" s="7" t="s">
        <v>309</v>
      </c>
    </row>
    <row r="494" spans="7:15" x14ac:dyDescent="0.3">
      <c r="G494" s="6" t="s">
        <v>19</v>
      </c>
      <c r="H494" s="6" t="s">
        <v>82</v>
      </c>
      <c r="N494" s="6" t="s">
        <v>19</v>
      </c>
      <c r="O494" s="6" t="s">
        <v>82</v>
      </c>
    </row>
    <row r="495" spans="7:15" x14ac:dyDescent="0.3">
      <c r="G495" s="7" t="s">
        <v>19</v>
      </c>
      <c r="H495" s="7" t="s">
        <v>28</v>
      </c>
      <c r="N495" s="7" t="s">
        <v>19</v>
      </c>
      <c r="O495" s="7" t="s">
        <v>28</v>
      </c>
    </row>
    <row r="496" spans="7:15" x14ac:dyDescent="0.3">
      <c r="G496" s="6" t="s">
        <v>19</v>
      </c>
      <c r="H496" s="6" t="s">
        <v>147</v>
      </c>
      <c r="N496" s="6" t="s">
        <v>19</v>
      </c>
      <c r="O496" s="6" t="s">
        <v>147</v>
      </c>
    </row>
    <row r="497" spans="7:15" x14ac:dyDescent="0.3">
      <c r="G497" s="7" t="s">
        <v>19</v>
      </c>
      <c r="H497" s="7" t="s">
        <v>33</v>
      </c>
      <c r="N497" s="7" t="s">
        <v>19</v>
      </c>
      <c r="O497" s="7" t="s">
        <v>33</v>
      </c>
    </row>
    <row r="498" spans="7:15" x14ac:dyDescent="0.3">
      <c r="G498" s="6" t="s">
        <v>19</v>
      </c>
      <c r="H498" s="6" t="s">
        <v>33</v>
      </c>
      <c r="N498" s="6" t="s">
        <v>19</v>
      </c>
      <c r="O498" s="6" t="s">
        <v>33</v>
      </c>
    </row>
    <row r="499" spans="7:15" x14ac:dyDescent="0.3">
      <c r="G499" s="7" t="s">
        <v>19</v>
      </c>
      <c r="H499" s="7" t="s">
        <v>33</v>
      </c>
      <c r="N499" s="7" t="s">
        <v>19</v>
      </c>
      <c r="O499" s="7" t="s">
        <v>33</v>
      </c>
    </row>
    <row r="500" spans="7:15" x14ac:dyDescent="0.3">
      <c r="G500" s="6" t="s">
        <v>19</v>
      </c>
      <c r="H500" s="6" t="s">
        <v>33</v>
      </c>
      <c r="N500" s="6" t="s">
        <v>19</v>
      </c>
      <c r="O500" s="6" t="s">
        <v>33</v>
      </c>
    </row>
    <row r="501" spans="7:15" x14ac:dyDescent="0.3">
      <c r="G501" s="7" t="s">
        <v>19</v>
      </c>
      <c r="H501" s="7" t="s">
        <v>33</v>
      </c>
      <c r="N501" s="7" t="s">
        <v>19</v>
      </c>
      <c r="O501" s="7" t="s">
        <v>33</v>
      </c>
    </row>
    <row r="502" spans="7:15" x14ac:dyDescent="0.3">
      <c r="G502" s="6" t="s">
        <v>19</v>
      </c>
      <c r="H502" s="6" t="s">
        <v>33</v>
      </c>
      <c r="N502" s="6" t="s">
        <v>19</v>
      </c>
      <c r="O502" s="6" t="s">
        <v>33</v>
      </c>
    </row>
    <row r="503" spans="7:15" x14ac:dyDescent="0.3">
      <c r="G503" s="7" t="s">
        <v>19</v>
      </c>
      <c r="H503" s="7" t="s">
        <v>33</v>
      </c>
      <c r="N503" s="7" t="s">
        <v>19</v>
      </c>
      <c r="O503" s="7" t="s">
        <v>33</v>
      </c>
    </row>
    <row r="504" spans="7:15" x14ac:dyDescent="0.3">
      <c r="G504" s="6" t="s">
        <v>19</v>
      </c>
      <c r="H504" s="6" t="s">
        <v>33</v>
      </c>
      <c r="N504" s="6" t="s">
        <v>19</v>
      </c>
      <c r="O504" s="6" t="s">
        <v>33</v>
      </c>
    </row>
    <row r="505" spans="7:15" x14ac:dyDescent="0.3">
      <c r="G505" s="7" t="s">
        <v>19</v>
      </c>
      <c r="H505" s="7" t="s">
        <v>33</v>
      </c>
      <c r="N505" s="7" t="s">
        <v>19</v>
      </c>
      <c r="O505" s="7" t="s">
        <v>33</v>
      </c>
    </row>
    <row r="506" spans="7:15" x14ac:dyDescent="0.3">
      <c r="G506" s="6" t="s">
        <v>19</v>
      </c>
      <c r="H506" s="6" t="s">
        <v>33</v>
      </c>
      <c r="N506" s="6" t="s">
        <v>19</v>
      </c>
      <c r="O506" s="6" t="s">
        <v>33</v>
      </c>
    </row>
    <row r="507" spans="7:15" x14ac:dyDescent="0.3">
      <c r="G507" s="7" t="s">
        <v>19</v>
      </c>
      <c r="H507" s="7" t="s">
        <v>33</v>
      </c>
      <c r="N507" s="7" t="s">
        <v>19</v>
      </c>
      <c r="O507" s="7" t="s">
        <v>33</v>
      </c>
    </row>
    <row r="508" spans="7:15" x14ac:dyDescent="0.3">
      <c r="G508" s="6" t="s">
        <v>19</v>
      </c>
      <c r="H508" s="6" t="s">
        <v>33</v>
      </c>
      <c r="N508" s="6" t="s">
        <v>19</v>
      </c>
      <c r="O508" s="6" t="s">
        <v>33</v>
      </c>
    </row>
    <row r="509" spans="7:15" x14ac:dyDescent="0.3">
      <c r="G509" s="7" t="s">
        <v>19</v>
      </c>
      <c r="H509" s="7" t="s">
        <v>33</v>
      </c>
      <c r="N509" s="7" t="s">
        <v>19</v>
      </c>
      <c r="O509" s="7" t="s">
        <v>33</v>
      </c>
    </row>
    <row r="510" spans="7:15" x14ac:dyDescent="0.3">
      <c r="G510" s="6" t="s">
        <v>19</v>
      </c>
      <c r="H510" s="6" t="s">
        <v>33</v>
      </c>
      <c r="N510" s="6" t="s">
        <v>19</v>
      </c>
      <c r="O510" s="6" t="s">
        <v>33</v>
      </c>
    </row>
    <row r="511" spans="7:15" x14ac:dyDescent="0.3">
      <c r="G511" s="7" t="s">
        <v>19</v>
      </c>
      <c r="H511" s="7" t="s">
        <v>33</v>
      </c>
      <c r="N511" s="7" t="s">
        <v>19</v>
      </c>
      <c r="O511" s="7" t="s">
        <v>33</v>
      </c>
    </row>
    <row r="512" spans="7:15" x14ac:dyDescent="0.3">
      <c r="G512" s="6" t="s">
        <v>19</v>
      </c>
      <c r="H512" s="6" t="s">
        <v>33</v>
      </c>
      <c r="N512" s="6" t="s">
        <v>19</v>
      </c>
      <c r="O512" s="6" t="s">
        <v>33</v>
      </c>
    </row>
    <row r="513" spans="7:15" x14ac:dyDescent="0.3">
      <c r="G513" s="7" t="s">
        <v>19</v>
      </c>
      <c r="H513" s="7" t="s">
        <v>364</v>
      </c>
      <c r="N513" s="7" t="s">
        <v>19</v>
      </c>
      <c r="O513" s="7" t="s">
        <v>364</v>
      </c>
    </row>
    <row r="514" spans="7:15" x14ac:dyDescent="0.3">
      <c r="G514" s="6" t="s">
        <v>19</v>
      </c>
      <c r="H514" s="6" t="s">
        <v>186</v>
      </c>
      <c r="N514" s="6" t="s">
        <v>19</v>
      </c>
      <c r="O514" s="6" t="s">
        <v>186</v>
      </c>
    </row>
    <row r="515" spans="7:15" x14ac:dyDescent="0.3">
      <c r="G515" s="7" t="s">
        <v>19</v>
      </c>
      <c r="H515" s="7" t="s">
        <v>188</v>
      </c>
      <c r="N515" s="7" t="s">
        <v>19</v>
      </c>
      <c r="O515" s="7" t="s">
        <v>188</v>
      </c>
    </row>
    <row r="516" spans="7:15" x14ac:dyDescent="0.3">
      <c r="G516" s="6" t="s">
        <v>19</v>
      </c>
      <c r="H516" s="6" t="s">
        <v>55</v>
      </c>
      <c r="N516" s="6" t="s">
        <v>19</v>
      </c>
      <c r="O516" s="6" t="s">
        <v>55</v>
      </c>
    </row>
    <row r="517" spans="7:15" x14ac:dyDescent="0.3">
      <c r="G517" s="7" t="s">
        <v>19</v>
      </c>
      <c r="H517" s="7" t="s">
        <v>55</v>
      </c>
      <c r="N517" s="7" t="s">
        <v>19</v>
      </c>
      <c r="O517" s="7" t="s">
        <v>55</v>
      </c>
    </row>
    <row r="518" spans="7:15" x14ac:dyDescent="0.3">
      <c r="G518" s="6" t="s">
        <v>19</v>
      </c>
      <c r="H518" s="6" t="s">
        <v>62</v>
      </c>
      <c r="N518" s="6" t="s">
        <v>19</v>
      </c>
      <c r="O518" s="6" t="s">
        <v>62</v>
      </c>
    </row>
    <row r="519" spans="7:15" x14ac:dyDescent="0.3">
      <c r="G519" s="7" t="s">
        <v>19</v>
      </c>
      <c r="H519" s="7" t="s">
        <v>62</v>
      </c>
      <c r="N519" s="7" t="s">
        <v>19</v>
      </c>
      <c r="O519" s="7" t="s">
        <v>62</v>
      </c>
    </row>
    <row r="520" spans="7:15" x14ac:dyDescent="0.3">
      <c r="G520" s="6" t="s">
        <v>19</v>
      </c>
      <c r="H520" s="6" t="s">
        <v>62</v>
      </c>
      <c r="N520" s="6" t="s">
        <v>19</v>
      </c>
      <c r="O520" s="6" t="s">
        <v>62</v>
      </c>
    </row>
    <row r="521" spans="7:15" x14ac:dyDescent="0.3">
      <c r="G521" s="7" t="s">
        <v>19</v>
      </c>
      <c r="H521" s="7" t="s">
        <v>62</v>
      </c>
      <c r="N521" s="7" t="s">
        <v>19</v>
      </c>
      <c r="O521" s="7" t="s">
        <v>62</v>
      </c>
    </row>
    <row r="522" spans="7:15" x14ac:dyDescent="0.3">
      <c r="G522" s="6" t="s">
        <v>19</v>
      </c>
      <c r="H522" s="6" t="s">
        <v>103</v>
      </c>
      <c r="N522" s="6" t="s">
        <v>19</v>
      </c>
      <c r="O522" s="6" t="s">
        <v>103</v>
      </c>
    </row>
    <row r="523" spans="7:15" x14ac:dyDescent="0.3">
      <c r="G523" s="7" t="s">
        <v>19</v>
      </c>
      <c r="H523" s="7" t="s">
        <v>103</v>
      </c>
      <c r="N523" s="7" t="s">
        <v>19</v>
      </c>
      <c r="O523" s="7" t="s">
        <v>103</v>
      </c>
    </row>
    <row r="524" spans="7:15" x14ac:dyDescent="0.3">
      <c r="G524" s="6" t="s">
        <v>19</v>
      </c>
      <c r="H524" s="6" t="s">
        <v>201</v>
      </c>
      <c r="N524" s="6" t="s">
        <v>19</v>
      </c>
      <c r="O524" s="6" t="s">
        <v>201</v>
      </c>
    </row>
    <row r="525" spans="7:15" x14ac:dyDescent="0.3">
      <c r="G525" s="7" t="s">
        <v>19</v>
      </c>
      <c r="H525" s="7" t="s">
        <v>77</v>
      </c>
      <c r="N525" s="7" t="s">
        <v>19</v>
      </c>
      <c r="O525" s="7" t="s">
        <v>77</v>
      </c>
    </row>
    <row r="526" spans="7:15" x14ac:dyDescent="0.3">
      <c r="G526" s="6" t="s">
        <v>19</v>
      </c>
      <c r="H526" s="6" t="s">
        <v>77</v>
      </c>
      <c r="N526" s="6" t="s">
        <v>19</v>
      </c>
      <c r="O526" s="6" t="s">
        <v>77</v>
      </c>
    </row>
    <row r="527" spans="7:15" x14ac:dyDescent="0.3">
      <c r="G527" s="7" t="s">
        <v>19</v>
      </c>
      <c r="H527" s="7" t="s">
        <v>77</v>
      </c>
      <c r="N527" s="7" t="s">
        <v>19</v>
      </c>
      <c r="O527" s="7" t="s">
        <v>77</v>
      </c>
    </row>
    <row r="528" spans="7:15" x14ac:dyDescent="0.3">
      <c r="G528" s="6" t="s">
        <v>19</v>
      </c>
      <c r="H528" s="6" t="s">
        <v>82</v>
      </c>
      <c r="N528" s="6" t="s">
        <v>19</v>
      </c>
      <c r="O528" s="6" t="s">
        <v>82</v>
      </c>
    </row>
    <row r="529" spans="7:15" x14ac:dyDescent="0.3">
      <c r="G529" s="7" t="s">
        <v>19</v>
      </c>
      <c r="H529" s="7" t="s">
        <v>82</v>
      </c>
      <c r="N529" s="7" t="s">
        <v>19</v>
      </c>
      <c r="O529" s="7" t="s">
        <v>82</v>
      </c>
    </row>
    <row r="530" spans="7:15" x14ac:dyDescent="0.3">
      <c r="G530" s="6" t="s">
        <v>19</v>
      </c>
      <c r="H530" s="6" t="s">
        <v>115</v>
      </c>
      <c r="N530" s="6" t="s">
        <v>19</v>
      </c>
      <c r="O530" s="6" t="s">
        <v>115</v>
      </c>
    </row>
    <row r="531" spans="7:15" x14ac:dyDescent="0.3">
      <c r="G531" s="7" t="s">
        <v>19</v>
      </c>
      <c r="H531" s="7" t="s">
        <v>24</v>
      </c>
      <c r="N531" s="7" t="s">
        <v>19</v>
      </c>
      <c r="O531" s="7" t="s">
        <v>24</v>
      </c>
    </row>
    <row r="532" spans="7:15" x14ac:dyDescent="0.3">
      <c r="G532" s="6" t="s">
        <v>19</v>
      </c>
      <c r="H532" s="6" t="s">
        <v>33</v>
      </c>
      <c r="N532" s="6" t="s">
        <v>19</v>
      </c>
      <c r="O532" s="6" t="s">
        <v>33</v>
      </c>
    </row>
    <row r="533" spans="7:15" x14ac:dyDescent="0.3">
      <c r="G533" s="7" t="s">
        <v>19</v>
      </c>
      <c r="H533" s="7" t="s">
        <v>33</v>
      </c>
      <c r="N533" s="7" t="s">
        <v>19</v>
      </c>
      <c r="O533" s="7" t="s">
        <v>33</v>
      </c>
    </row>
    <row r="534" spans="7:15" x14ac:dyDescent="0.3">
      <c r="G534" s="6" t="s">
        <v>19</v>
      </c>
      <c r="H534" s="6" t="s">
        <v>33</v>
      </c>
      <c r="N534" s="6" t="s">
        <v>19</v>
      </c>
      <c r="O534" s="6" t="s">
        <v>33</v>
      </c>
    </row>
    <row r="535" spans="7:15" x14ac:dyDescent="0.3">
      <c r="G535" s="7" t="s">
        <v>19</v>
      </c>
      <c r="H535" s="7" t="s">
        <v>33</v>
      </c>
      <c r="N535" s="7" t="s">
        <v>19</v>
      </c>
      <c r="O535" s="7" t="s">
        <v>33</v>
      </c>
    </row>
    <row r="536" spans="7:15" x14ac:dyDescent="0.3">
      <c r="G536" s="6" t="s">
        <v>19</v>
      </c>
      <c r="H536" s="6" t="s">
        <v>33</v>
      </c>
      <c r="N536" s="6" t="s">
        <v>19</v>
      </c>
      <c r="O536" s="6" t="s">
        <v>33</v>
      </c>
    </row>
    <row r="537" spans="7:15" x14ac:dyDescent="0.3">
      <c r="G537" s="7" t="s">
        <v>19</v>
      </c>
      <c r="H537" s="7" t="s">
        <v>33</v>
      </c>
      <c r="N537" s="7" t="s">
        <v>19</v>
      </c>
      <c r="O537" s="7" t="s">
        <v>33</v>
      </c>
    </row>
    <row r="538" spans="7:15" x14ac:dyDescent="0.3">
      <c r="G538" s="6" t="s">
        <v>19</v>
      </c>
      <c r="H538" s="6" t="s">
        <v>545</v>
      </c>
      <c r="N538" s="6" t="s">
        <v>19</v>
      </c>
      <c r="O538" s="6" t="s">
        <v>545</v>
      </c>
    </row>
    <row r="539" spans="7:15" x14ac:dyDescent="0.3">
      <c r="G539" s="7" t="s">
        <v>19</v>
      </c>
      <c r="H539" s="7" t="s">
        <v>52</v>
      </c>
      <c r="N539" s="7" t="s">
        <v>19</v>
      </c>
      <c r="O539" s="7" t="s">
        <v>52</v>
      </c>
    </row>
    <row r="540" spans="7:15" x14ac:dyDescent="0.3">
      <c r="G540" s="6" t="s">
        <v>19</v>
      </c>
      <c r="H540" s="6" t="s">
        <v>55</v>
      </c>
      <c r="N540" s="6" t="s">
        <v>19</v>
      </c>
      <c r="O540" s="6" t="s">
        <v>55</v>
      </c>
    </row>
    <row r="541" spans="7:15" x14ac:dyDescent="0.3">
      <c r="G541" s="7" t="s">
        <v>19</v>
      </c>
      <c r="H541" s="7" t="s">
        <v>62</v>
      </c>
      <c r="N541" s="7" t="s">
        <v>19</v>
      </c>
      <c r="O541" s="7" t="s">
        <v>62</v>
      </c>
    </row>
    <row r="542" spans="7:15" x14ac:dyDescent="0.3">
      <c r="G542" s="6" t="s">
        <v>19</v>
      </c>
      <c r="H542" s="6" t="s">
        <v>72</v>
      </c>
      <c r="N542" s="6" t="s">
        <v>19</v>
      </c>
      <c r="O542" s="6" t="s">
        <v>72</v>
      </c>
    </row>
    <row r="543" spans="7:15" x14ac:dyDescent="0.3">
      <c r="G543" s="7" t="s">
        <v>19</v>
      </c>
      <c r="H543" s="7" t="s">
        <v>72</v>
      </c>
      <c r="N543" s="7" t="s">
        <v>19</v>
      </c>
      <c r="O543" s="7" t="s">
        <v>72</v>
      </c>
    </row>
    <row r="544" spans="7:15" x14ac:dyDescent="0.3">
      <c r="G544" s="6" t="s">
        <v>19</v>
      </c>
      <c r="H544" s="6" t="s">
        <v>74</v>
      </c>
      <c r="N544" s="6" t="s">
        <v>19</v>
      </c>
      <c r="O544" s="6" t="s">
        <v>74</v>
      </c>
    </row>
    <row r="545" spans="7:15" x14ac:dyDescent="0.3">
      <c r="G545" s="7" t="s">
        <v>19</v>
      </c>
      <c r="H545" s="7" t="s">
        <v>77</v>
      </c>
      <c r="N545" s="7" t="s">
        <v>19</v>
      </c>
      <c r="O545" s="7" t="s">
        <v>77</v>
      </c>
    </row>
    <row r="546" spans="7:15" x14ac:dyDescent="0.3">
      <c r="G546" s="6" t="s">
        <v>19</v>
      </c>
      <c r="H546" s="6" t="s">
        <v>82</v>
      </c>
      <c r="N546" s="6" t="s">
        <v>19</v>
      </c>
      <c r="O546" s="6" t="s">
        <v>82</v>
      </c>
    </row>
    <row r="547" spans="7:15" x14ac:dyDescent="0.3">
      <c r="G547" s="7" t="s">
        <v>19</v>
      </c>
      <c r="H547" s="7" t="s">
        <v>115</v>
      </c>
      <c r="N547" s="7" t="s">
        <v>19</v>
      </c>
      <c r="O547" s="7" t="s">
        <v>115</v>
      </c>
    </row>
    <row r="548" spans="7:15" x14ac:dyDescent="0.3">
      <c r="G548" s="6" t="s">
        <v>19</v>
      </c>
      <c r="H548" s="6" t="s">
        <v>115</v>
      </c>
      <c r="N548" s="6" t="s">
        <v>19</v>
      </c>
      <c r="O548" s="6" t="s">
        <v>115</v>
      </c>
    </row>
    <row r="549" spans="7:15" x14ac:dyDescent="0.3">
      <c r="G549" s="7" t="s">
        <v>19</v>
      </c>
      <c r="H549" s="7" t="s">
        <v>24</v>
      </c>
      <c r="N549" s="7" t="s">
        <v>19</v>
      </c>
      <c r="O549" s="7" t="s">
        <v>24</v>
      </c>
    </row>
    <row r="550" spans="7:15" x14ac:dyDescent="0.3">
      <c r="G550" s="6" t="s">
        <v>19</v>
      </c>
      <c r="H550" s="6" t="s">
        <v>147</v>
      </c>
      <c r="N550" s="6" t="s">
        <v>19</v>
      </c>
      <c r="O550" s="6" t="s">
        <v>147</v>
      </c>
    </row>
    <row r="551" spans="7:15" x14ac:dyDescent="0.3">
      <c r="G551" s="7" t="s">
        <v>19</v>
      </c>
      <c r="H551" s="7" t="s">
        <v>33</v>
      </c>
      <c r="N551" s="7" t="s">
        <v>19</v>
      </c>
      <c r="O551" s="7" t="s">
        <v>33</v>
      </c>
    </row>
    <row r="552" spans="7:15" x14ac:dyDescent="0.3">
      <c r="G552" s="6" t="s">
        <v>19</v>
      </c>
      <c r="H552" s="6" t="s">
        <v>33</v>
      </c>
      <c r="N552" s="6" t="s">
        <v>19</v>
      </c>
      <c r="O552" s="6" t="s">
        <v>33</v>
      </c>
    </row>
    <row r="553" spans="7:15" x14ac:dyDescent="0.3">
      <c r="G553" s="7" t="s">
        <v>19</v>
      </c>
      <c r="H553" s="7" t="s">
        <v>33</v>
      </c>
      <c r="N553" s="7" t="s">
        <v>19</v>
      </c>
      <c r="O553" s="7" t="s">
        <v>33</v>
      </c>
    </row>
    <row r="554" spans="7:15" x14ac:dyDescent="0.3">
      <c r="G554" s="6" t="s">
        <v>19</v>
      </c>
      <c r="H554" s="6" t="s">
        <v>33</v>
      </c>
      <c r="N554" s="6" t="s">
        <v>19</v>
      </c>
      <c r="O554" s="6" t="s">
        <v>33</v>
      </c>
    </row>
    <row r="555" spans="7:15" x14ac:dyDescent="0.3">
      <c r="G555" s="7" t="s">
        <v>19</v>
      </c>
      <c r="H555" s="7" t="s">
        <v>33</v>
      </c>
      <c r="N555" s="7" t="s">
        <v>19</v>
      </c>
      <c r="O555" s="7" t="s">
        <v>33</v>
      </c>
    </row>
    <row r="556" spans="7:15" x14ac:dyDescent="0.3">
      <c r="G556" s="6" t="s">
        <v>19</v>
      </c>
      <c r="H556" s="6" t="s">
        <v>33</v>
      </c>
      <c r="N556" s="6" t="s">
        <v>19</v>
      </c>
      <c r="O556" s="6" t="s">
        <v>33</v>
      </c>
    </row>
    <row r="557" spans="7:15" x14ac:dyDescent="0.3">
      <c r="G557" s="7" t="s">
        <v>19</v>
      </c>
      <c r="H557" s="7" t="s">
        <v>33</v>
      </c>
      <c r="N557" s="7" t="s">
        <v>19</v>
      </c>
      <c r="O557" s="7" t="s">
        <v>33</v>
      </c>
    </row>
    <row r="558" spans="7:15" x14ac:dyDescent="0.3">
      <c r="G558" s="6" t="s">
        <v>19</v>
      </c>
      <c r="H558" s="6" t="s">
        <v>33</v>
      </c>
      <c r="N558" s="6" t="s">
        <v>19</v>
      </c>
      <c r="O558" s="6" t="s">
        <v>33</v>
      </c>
    </row>
    <row r="559" spans="7:15" x14ac:dyDescent="0.3">
      <c r="G559" s="7" t="s">
        <v>19</v>
      </c>
      <c r="H559" s="7" t="s">
        <v>33</v>
      </c>
      <c r="N559" s="7" t="s">
        <v>19</v>
      </c>
      <c r="O559" s="7" t="s">
        <v>33</v>
      </c>
    </row>
    <row r="560" spans="7:15" x14ac:dyDescent="0.3">
      <c r="G560" s="6" t="s">
        <v>19</v>
      </c>
      <c r="H560" s="6" t="s">
        <v>33</v>
      </c>
      <c r="N560" s="6" t="s">
        <v>19</v>
      </c>
      <c r="O560" s="6" t="s">
        <v>33</v>
      </c>
    </row>
    <row r="561" spans="7:15" x14ac:dyDescent="0.3">
      <c r="G561" s="7" t="s">
        <v>19</v>
      </c>
      <c r="H561" s="7" t="s">
        <v>33</v>
      </c>
      <c r="N561" s="7" t="s">
        <v>19</v>
      </c>
      <c r="O561" s="7" t="s">
        <v>33</v>
      </c>
    </row>
    <row r="562" spans="7:15" x14ac:dyDescent="0.3">
      <c r="G562" s="6" t="s">
        <v>19</v>
      </c>
      <c r="H562" s="6" t="s">
        <v>33</v>
      </c>
      <c r="N562" s="6" t="s">
        <v>19</v>
      </c>
      <c r="O562" s="6" t="s">
        <v>33</v>
      </c>
    </row>
    <row r="563" spans="7:15" x14ac:dyDescent="0.3">
      <c r="G563" s="7" t="s">
        <v>19</v>
      </c>
      <c r="H563" s="7" t="s">
        <v>364</v>
      </c>
      <c r="N563" s="7" t="s">
        <v>19</v>
      </c>
      <c r="O563" s="7" t="s">
        <v>364</v>
      </c>
    </row>
    <row r="564" spans="7:15" x14ac:dyDescent="0.3">
      <c r="G564" s="6" t="s">
        <v>19</v>
      </c>
      <c r="H564" s="6" t="s">
        <v>188</v>
      </c>
      <c r="N564" s="6" t="s">
        <v>19</v>
      </c>
      <c r="O564" s="6" t="s">
        <v>188</v>
      </c>
    </row>
    <row r="565" spans="7:15" x14ac:dyDescent="0.3">
      <c r="G565" s="7" t="s">
        <v>19</v>
      </c>
      <c r="H565" s="7" t="s">
        <v>188</v>
      </c>
      <c r="N565" s="7" t="s">
        <v>19</v>
      </c>
      <c r="O565" s="7" t="s">
        <v>188</v>
      </c>
    </row>
    <row r="566" spans="7:15" x14ac:dyDescent="0.3">
      <c r="G566" s="6" t="s">
        <v>19</v>
      </c>
      <c r="H566" s="6" t="s">
        <v>158</v>
      </c>
      <c r="N566" s="6" t="s">
        <v>19</v>
      </c>
      <c r="O566" s="6" t="s">
        <v>158</v>
      </c>
    </row>
    <row r="567" spans="7:15" x14ac:dyDescent="0.3">
      <c r="G567" s="7" t="s">
        <v>19</v>
      </c>
      <c r="H567" s="7" t="s">
        <v>62</v>
      </c>
      <c r="N567" s="7" t="s">
        <v>19</v>
      </c>
      <c r="O567" s="7" t="s">
        <v>62</v>
      </c>
    </row>
    <row r="568" spans="7:15" x14ac:dyDescent="0.3">
      <c r="G568" s="6" t="s">
        <v>19</v>
      </c>
      <c r="H568" s="6" t="s">
        <v>103</v>
      </c>
      <c r="N568" s="6" t="s">
        <v>19</v>
      </c>
      <c r="O568" s="6" t="s">
        <v>103</v>
      </c>
    </row>
    <row r="569" spans="7:15" x14ac:dyDescent="0.3">
      <c r="G569" s="7" t="s">
        <v>19</v>
      </c>
      <c r="H569" s="7" t="s">
        <v>103</v>
      </c>
      <c r="N569" s="7" t="s">
        <v>19</v>
      </c>
      <c r="O569" s="7" t="s">
        <v>103</v>
      </c>
    </row>
    <row r="570" spans="7:15" x14ac:dyDescent="0.3">
      <c r="G570" s="6" t="s">
        <v>19</v>
      </c>
      <c r="H570" s="6" t="s">
        <v>72</v>
      </c>
      <c r="N570" s="6" t="s">
        <v>19</v>
      </c>
      <c r="O570" s="6" t="s">
        <v>72</v>
      </c>
    </row>
    <row r="571" spans="7:15" x14ac:dyDescent="0.3">
      <c r="G571" s="7" t="s">
        <v>19</v>
      </c>
      <c r="H571" s="7" t="s">
        <v>74</v>
      </c>
      <c r="N571" s="7" t="s">
        <v>19</v>
      </c>
      <c r="O571" s="7" t="s">
        <v>74</v>
      </c>
    </row>
    <row r="572" spans="7:15" x14ac:dyDescent="0.3">
      <c r="G572" s="6" t="s">
        <v>19</v>
      </c>
      <c r="H572" s="6" t="s">
        <v>74</v>
      </c>
      <c r="N572" s="6" t="s">
        <v>19</v>
      </c>
      <c r="O572" s="6" t="s">
        <v>74</v>
      </c>
    </row>
    <row r="573" spans="7:15" x14ac:dyDescent="0.3">
      <c r="G573" s="7" t="s">
        <v>19</v>
      </c>
      <c r="H573" s="7" t="s">
        <v>77</v>
      </c>
      <c r="N573" s="7" t="s">
        <v>19</v>
      </c>
      <c r="O573" s="7" t="s">
        <v>77</v>
      </c>
    </row>
    <row r="574" spans="7:15" x14ac:dyDescent="0.3">
      <c r="G574" s="6" t="s">
        <v>19</v>
      </c>
      <c r="H574" s="6" t="s">
        <v>77</v>
      </c>
      <c r="N574" s="6" t="s">
        <v>19</v>
      </c>
      <c r="O574" s="6" t="s">
        <v>77</v>
      </c>
    </row>
    <row r="575" spans="7:15" x14ac:dyDescent="0.3">
      <c r="G575" s="7" t="s">
        <v>19</v>
      </c>
      <c r="H575" s="7" t="s">
        <v>77</v>
      </c>
      <c r="N575" s="7" t="s">
        <v>19</v>
      </c>
      <c r="O575" s="7" t="s">
        <v>77</v>
      </c>
    </row>
    <row r="576" spans="7:15" x14ac:dyDescent="0.3">
      <c r="G576" s="6" t="s">
        <v>19</v>
      </c>
      <c r="H576" s="6" t="s">
        <v>108</v>
      </c>
      <c r="N576" s="6" t="s">
        <v>19</v>
      </c>
      <c r="O576" s="6" t="s">
        <v>108</v>
      </c>
    </row>
    <row r="577" spans="7:15" x14ac:dyDescent="0.3">
      <c r="G577" s="7" t="s">
        <v>19</v>
      </c>
      <c r="H577" s="7" t="s">
        <v>82</v>
      </c>
      <c r="N577" s="7" t="s">
        <v>19</v>
      </c>
      <c r="O577" s="7" t="s">
        <v>82</v>
      </c>
    </row>
    <row r="578" spans="7:15" x14ac:dyDescent="0.3">
      <c r="G578" s="6" t="s">
        <v>19</v>
      </c>
      <c r="H578" s="6" t="s">
        <v>82</v>
      </c>
      <c r="N578" s="6" t="s">
        <v>19</v>
      </c>
      <c r="O578" s="6" t="s">
        <v>82</v>
      </c>
    </row>
    <row r="579" spans="7:15" x14ac:dyDescent="0.3">
      <c r="G579" s="7" t="s">
        <v>19</v>
      </c>
      <c r="H579" s="7" t="s">
        <v>587</v>
      </c>
      <c r="N579" s="7" t="s">
        <v>19</v>
      </c>
      <c r="O579" s="7" t="s">
        <v>587</v>
      </c>
    </row>
    <row r="580" spans="7:15" x14ac:dyDescent="0.3">
      <c r="G580" s="6" t="s">
        <v>19</v>
      </c>
      <c r="H580" s="6" t="s">
        <v>147</v>
      </c>
      <c r="N580" s="6" t="s">
        <v>19</v>
      </c>
      <c r="O580" s="6" t="s">
        <v>147</v>
      </c>
    </row>
    <row r="581" spans="7:15" x14ac:dyDescent="0.3">
      <c r="G581" s="7" t="s">
        <v>19</v>
      </c>
      <c r="H581" s="7" t="s">
        <v>33</v>
      </c>
      <c r="N581" s="7" t="s">
        <v>19</v>
      </c>
      <c r="O581" s="7" t="s">
        <v>33</v>
      </c>
    </row>
    <row r="582" spans="7:15" x14ac:dyDescent="0.3">
      <c r="G582" s="6" t="s">
        <v>19</v>
      </c>
      <c r="H582" s="6" t="s">
        <v>33</v>
      </c>
      <c r="N582" s="6" t="s">
        <v>19</v>
      </c>
      <c r="O582" s="6" t="s">
        <v>33</v>
      </c>
    </row>
    <row r="583" spans="7:15" x14ac:dyDescent="0.3">
      <c r="G583" s="7" t="s">
        <v>19</v>
      </c>
      <c r="H583" s="7" t="s">
        <v>33</v>
      </c>
      <c r="N583" s="7" t="s">
        <v>19</v>
      </c>
      <c r="O583" s="7" t="s">
        <v>33</v>
      </c>
    </row>
    <row r="584" spans="7:15" x14ac:dyDescent="0.3">
      <c r="G584" s="6" t="s">
        <v>19</v>
      </c>
      <c r="H584" s="6" t="s">
        <v>33</v>
      </c>
      <c r="N584" s="6" t="s">
        <v>19</v>
      </c>
      <c r="O584" s="6" t="s">
        <v>33</v>
      </c>
    </row>
    <row r="585" spans="7:15" x14ac:dyDescent="0.3">
      <c r="G585" s="7" t="s">
        <v>19</v>
      </c>
      <c r="H585" s="7" t="s">
        <v>33</v>
      </c>
      <c r="N585" s="7" t="s">
        <v>19</v>
      </c>
      <c r="O585" s="7" t="s">
        <v>33</v>
      </c>
    </row>
    <row r="586" spans="7:15" x14ac:dyDescent="0.3">
      <c r="G586" s="6" t="s">
        <v>19</v>
      </c>
      <c r="H586" s="6" t="s">
        <v>33</v>
      </c>
      <c r="N586" s="6" t="s">
        <v>19</v>
      </c>
      <c r="O586" s="6" t="s">
        <v>33</v>
      </c>
    </row>
    <row r="587" spans="7:15" x14ac:dyDescent="0.3">
      <c r="G587" s="7" t="s">
        <v>19</v>
      </c>
      <c r="H587" s="7" t="s">
        <v>33</v>
      </c>
      <c r="N587" s="7" t="s">
        <v>19</v>
      </c>
      <c r="O587" s="7" t="s">
        <v>33</v>
      </c>
    </row>
    <row r="588" spans="7:15" x14ac:dyDescent="0.3">
      <c r="G588" s="6" t="s">
        <v>19</v>
      </c>
      <c r="H588" s="6" t="s">
        <v>33</v>
      </c>
      <c r="N588" s="6" t="s">
        <v>19</v>
      </c>
      <c r="O588" s="6" t="s">
        <v>33</v>
      </c>
    </row>
    <row r="589" spans="7:15" x14ac:dyDescent="0.3">
      <c r="G589" s="7" t="s">
        <v>19</v>
      </c>
      <c r="H589" s="7" t="s">
        <v>33</v>
      </c>
      <c r="N589" s="7" t="s">
        <v>19</v>
      </c>
      <c r="O589" s="7" t="s">
        <v>33</v>
      </c>
    </row>
    <row r="590" spans="7:15" x14ac:dyDescent="0.3">
      <c r="G590" s="6" t="s">
        <v>19</v>
      </c>
      <c r="H590" s="6" t="s">
        <v>55</v>
      </c>
      <c r="N590" s="6" t="s">
        <v>19</v>
      </c>
      <c r="O590" s="6" t="s">
        <v>55</v>
      </c>
    </row>
    <row r="591" spans="7:15" x14ac:dyDescent="0.3">
      <c r="G591" s="7" t="s">
        <v>19</v>
      </c>
      <c r="H591" s="7" t="s">
        <v>62</v>
      </c>
      <c r="N591" s="7" t="s">
        <v>19</v>
      </c>
      <c r="O591" s="7" t="s">
        <v>62</v>
      </c>
    </row>
    <row r="592" spans="7:15" x14ac:dyDescent="0.3">
      <c r="G592" s="6" t="s">
        <v>19</v>
      </c>
      <c r="H592" s="6" t="s">
        <v>62</v>
      </c>
      <c r="N592" s="6" t="s">
        <v>19</v>
      </c>
      <c r="O592" s="6" t="s">
        <v>62</v>
      </c>
    </row>
    <row r="593" spans="7:15" x14ac:dyDescent="0.3">
      <c r="G593" s="7" t="s">
        <v>19</v>
      </c>
      <c r="H593" s="7" t="s">
        <v>62</v>
      </c>
      <c r="N593" s="7" t="s">
        <v>19</v>
      </c>
      <c r="O593" s="7" t="s">
        <v>62</v>
      </c>
    </row>
    <row r="594" spans="7:15" x14ac:dyDescent="0.3">
      <c r="G594" s="6" t="s">
        <v>19</v>
      </c>
      <c r="H594" s="6" t="s">
        <v>62</v>
      </c>
      <c r="N594" s="6" t="s">
        <v>19</v>
      </c>
      <c r="O594" s="6" t="s">
        <v>62</v>
      </c>
    </row>
    <row r="595" spans="7:15" x14ac:dyDescent="0.3">
      <c r="G595" s="7" t="s">
        <v>19</v>
      </c>
      <c r="H595" s="7" t="s">
        <v>72</v>
      </c>
      <c r="N595" s="7" t="s">
        <v>19</v>
      </c>
      <c r="O595" s="7" t="s">
        <v>72</v>
      </c>
    </row>
    <row r="596" spans="7:15" x14ac:dyDescent="0.3">
      <c r="G596" s="6" t="s">
        <v>19</v>
      </c>
      <c r="H596" s="6" t="s">
        <v>77</v>
      </c>
      <c r="N596" s="6" t="s">
        <v>19</v>
      </c>
      <c r="O596" s="6" t="s">
        <v>77</v>
      </c>
    </row>
    <row r="597" spans="7:15" x14ac:dyDescent="0.3">
      <c r="G597" s="7" t="s">
        <v>19</v>
      </c>
      <c r="H597" s="7" t="s">
        <v>77</v>
      </c>
      <c r="N597" s="7" t="s">
        <v>19</v>
      </c>
      <c r="O597" s="7" t="s">
        <v>77</v>
      </c>
    </row>
    <row r="598" spans="7:15" x14ac:dyDescent="0.3">
      <c r="G598" s="6" t="s">
        <v>19</v>
      </c>
      <c r="H598" s="6" t="s">
        <v>108</v>
      </c>
      <c r="N598" s="6" t="s">
        <v>19</v>
      </c>
      <c r="O598" s="6" t="s">
        <v>108</v>
      </c>
    </row>
    <row r="599" spans="7:15" x14ac:dyDescent="0.3">
      <c r="G599" s="7" t="s">
        <v>19</v>
      </c>
      <c r="H599" s="7" t="s">
        <v>608</v>
      </c>
      <c r="N599" s="7" t="s">
        <v>19</v>
      </c>
      <c r="O599" s="7" t="s">
        <v>608</v>
      </c>
    </row>
    <row r="600" spans="7:15" x14ac:dyDescent="0.3">
      <c r="G600" s="6" t="s">
        <v>19</v>
      </c>
      <c r="H600" s="6" t="s">
        <v>115</v>
      </c>
      <c r="N600" s="6" t="s">
        <v>19</v>
      </c>
      <c r="O600" s="6" t="s">
        <v>115</v>
      </c>
    </row>
    <row r="601" spans="7:15" x14ac:dyDescent="0.3">
      <c r="G601" s="7" t="s">
        <v>19</v>
      </c>
      <c r="H601" s="7" t="s">
        <v>28</v>
      </c>
      <c r="N601" s="7" t="s">
        <v>19</v>
      </c>
      <c r="O601" s="7" t="s">
        <v>28</v>
      </c>
    </row>
    <row r="602" spans="7:15" x14ac:dyDescent="0.3">
      <c r="G602" s="6" t="s">
        <v>19</v>
      </c>
      <c r="H602" s="6" t="s">
        <v>28</v>
      </c>
      <c r="N602" s="6" t="s">
        <v>19</v>
      </c>
      <c r="O602" s="6" t="s">
        <v>28</v>
      </c>
    </row>
    <row r="603" spans="7:15" x14ac:dyDescent="0.3">
      <c r="G603" s="7" t="s">
        <v>19</v>
      </c>
      <c r="H603" s="7" t="s">
        <v>33</v>
      </c>
      <c r="N603" s="7" t="s">
        <v>19</v>
      </c>
      <c r="O603" s="7" t="s">
        <v>33</v>
      </c>
    </row>
    <row r="604" spans="7:15" x14ac:dyDescent="0.3">
      <c r="G604" s="6" t="s">
        <v>19</v>
      </c>
      <c r="H604" s="6" t="s">
        <v>33</v>
      </c>
      <c r="N604" s="6" t="s">
        <v>19</v>
      </c>
      <c r="O604" s="6" t="s">
        <v>33</v>
      </c>
    </row>
    <row r="605" spans="7:15" x14ac:dyDescent="0.3">
      <c r="G605" s="7" t="s">
        <v>19</v>
      </c>
      <c r="H605" s="7" t="s">
        <v>33</v>
      </c>
      <c r="N605" s="7" t="s">
        <v>19</v>
      </c>
      <c r="O605" s="7" t="s">
        <v>33</v>
      </c>
    </row>
    <row r="606" spans="7:15" x14ac:dyDescent="0.3">
      <c r="G606" s="6" t="s">
        <v>19</v>
      </c>
      <c r="H606" s="6" t="s">
        <v>33</v>
      </c>
      <c r="N606" s="6" t="s">
        <v>19</v>
      </c>
      <c r="O606" s="6" t="s">
        <v>33</v>
      </c>
    </row>
    <row r="607" spans="7:15" x14ac:dyDescent="0.3">
      <c r="G607" s="7" t="s">
        <v>19</v>
      </c>
      <c r="H607" s="7" t="s">
        <v>33</v>
      </c>
      <c r="N607" s="7" t="s">
        <v>19</v>
      </c>
      <c r="O607" s="7" t="s">
        <v>33</v>
      </c>
    </row>
    <row r="608" spans="7:15" x14ac:dyDescent="0.3">
      <c r="G608" s="6" t="s">
        <v>19</v>
      </c>
      <c r="H608" s="6" t="s">
        <v>33</v>
      </c>
      <c r="N608" s="6" t="s">
        <v>19</v>
      </c>
      <c r="O608" s="6" t="s">
        <v>33</v>
      </c>
    </row>
    <row r="609" spans="7:15" x14ac:dyDescent="0.3">
      <c r="G609" s="7" t="s">
        <v>19</v>
      </c>
      <c r="H609" s="7" t="s">
        <v>33</v>
      </c>
      <c r="N609" s="7" t="s">
        <v>19</v>
      </c>
      <c r="O609" s="7" t="s">
        <v>33</v>
      </c>
    </row>
    <row r="610" spans="7:15" x14ac:dyDescent="0.3">
      <c r="G610" s="6" t="s">
        <v>19</v>
      </c>
      <c r="H610" s="6" t="s">
        <v>33</v>
      </c>
      <c r="N610" s="6" t="s">
        <v>19</v>
      </c>
      <c r="O610" s="6" t="s">
        <v>33</v>
      </c>
    </row>
    <row r="611" spans="7:15" x14ac:dyDescent="0.3">
      <c r="G611" s="7" t="s">
        <v>19</v>
      </c>
      <c r="H611" s="7" t="s">
        <v>33</v>
      </c>
      <c r="N611" s="7" t="s">
        <v>19</v>
      </c>
      <c r="O611" s="7" t="s">
        <v>33</v>
      </c>
    </row>
    <row r="612" spans="7:15" x14ac:dyDescent="0.3">
      <c r="G612" s="6" t="s">
        <v>19</v>
      </c>
      <c r="H612" s="6" t="s">
        <v>33</v>
      </c>
      <c r="N612" s="6" t="s">
        <v>19</v>
      </c>
      <c r="O612" s="6" t="s">
        <v>33</v>
      </c>
    </row>
    <row r="613" spans="7:15" x14ac:dyDescent="0.3">
      <c r="G613" s="7" t="s">
        <v>19</v>
      </c>
      <c r="H613" s="7" t="s">
        <v>55</v>
      </c>
      <c r="N613" s="7" t="s">
        <v>19</v>
      </c>
      <c r="O613" s="7" t="s">
        <v>55</v>
      </c>
    </row>
    <row r="614" spans="7:15" x14ac:dyDescent="0.3">
      <c r="G614" s="6" t="s">
        <v>19</v>
      </c>
      <c r="H614" s="6" t="s">
        <v>55</v>
      </c>
      <c r="N614" s="6" t="s">
        <v>19</v>
      </c>
      <c r="O614" s="6" t="s">
        <v>55</v>
      </c>
    </row>
    <row r="615" spans="7:15" x14ac:dyDescent="0.3">
      <c r="G615" s="7" t="s">
        <v>19</v>
      </c>
      <c r="H615" s="7" t="s">
        <v>55</v>
      </c>
      <c r="N615" s="7" t="s">
        <v>19</v>
      </c>
      <c r="O615" s="7" t="s">
        <v>55</v>
      </c>
    </row>
    <row r="616" spans="7:15" x14ac:dyDescent="0.3">
      <c r="G616" s="6" t="s">
        <v>19</v>
      </c>
      <c r="H616" s="6" t="s">
        <v>59</v>
      </c>
      <c r="N616" s="6" t="s">
        <v>19</v>
      </c>
      <c r="O616" s="6" t="s">
        <v>59</v>
      </c>
    </row>
    <row r="617" spans="7:15" x14ac:dyDescent="0.3">
      <c r="G617" s="7" t="s">
        <v>19</v>
      </c>
      <c r="H617" s="7" t="s">
        <v>59</v>
      </c>
      <c r="N617" s="7" t="s">
        <v>19</v>
      </c>
      <c r="O617" s="7" t="s">
        <v>59</v>
      </c>
    </row>
    <row r="618" spans="7:15" x14ac:dyDescent="0.3">
      <c r="G618" s="6" t="s">
        <v>19</v>
      </c>
      <c r="H618" s="6" t="s">
        <v>59</v>
      </c>
      <c r="N618" s="6" t="s">
        <v>19</v>
      </c>
      <c r="O618" s="6" t="s">
        <v>59</v>
      </c>
    </row>
    <row r="619" spans="7:15" x14ac:dyDescent="0.3">
      <c r="G619" s="7" t="s">
        <v>19</v>
      </c>
      <c r="H619" s="7" t="s">
        <v>62</v>
      </c>
      <c r="N619" s="7" t="s">
        <v>19</v>
      </c>
      <c r="O619" s="7" t="s">
        <v>62</v>
      </c>
    </row>
    <row r="620" spans="7:15" x14ac:dyDescent="0.3">
      <c r="G620" s="6" t="s">
        <v>19</v>
      </c>
      <c r="H620" s="6" t="s">
        <v>62</v>
      </c>
      <c r="N620" s="6" t="s">
        <v>19</v>
      </c>
      <c r="O620" s="6" t="s">
        <v>62</v>
      </c>
    </row>
    <row r="621" spans="7:15" x14ac:dyDescent="0.3">
      <c r="G621" s="7" t="s">
        <v>19</v>
      </c>
      <c r="H621" s="7" t="s">
        <v>62</v>
      </c>
      <c r="N621" s="7" t="s">
        <v>19</v>
      </c>
      <c r="O621" s="7" t="s">
        <v>62</v>
      </c>
    </row>
    <row r="622" spans="7:15" x14ac:dyDescent="0.3">
      <c r="G622" s="6" t="s">
        <v>19</v>
      </c>
      <c r="H622" s="6" t="s">
        <v>62</v>
      </c>
      <c r="N622" s="6" t="s">
        <v>19</v>
      </c>
      <c r="O622" s="6" t="s">
        <v>62</v>
      </c>
    </row>
    <row r="623" spans="7:15" x14ac:dyDescent="0.3">
      <c r="G623" s="7" t="s">
        <v>19</v>
      </c>
      <c r="H623" s="7" t="s">
        <v>74</v>
      </c>
      <c r="N623" s="7" t="s">
        <v>19</v>
      </c>
      <c r="O623" s="7" t="s">
        <v>74</v>
      </c>
    </row>
    <row r="624" spans="7:15" x14ac:dyDescent="0.3">
      <c r="G624" s="6" t="s">
        <v>19</v>
      </c>
      <c r="H624" s="6" t="s">
        <v>74</v>
      </c>
      <c r="N624" s="6" t="s">
        <v>19</v>
      </c>
      <c r="O624" s="6" t="s">
        <v>74</v>
      </c>
    </row>
    <row r="625" spans="7:15" x14ac:dyDescent="0.3">
      <c r="G625" s="7" t="s">
        <v>19</v>
      </c>
      <c r="H625" s="7" t="s">
        <v>77</v>
      </c>
      <c r="N625" s="7" t="s">
        <v>19</v>
      </c>
      <c r="O625" s="7" t="s">
        <v>77</v>
      </c>
    </row>
    <row r="626" spans="7:15" x14ac:dyDescent="0.3">
      <c r="G626" s="6" t="s">
        <v>19</v>
      </c>
      <c r="H626" s="6" t="s">
        <v>309</v>
      </c>
      <c r="N626" s="6" t="s">
        <v>19</v>
      </c>
      <c r="O626" s="6" t="s">
        <v>309</v>
      </c>
    </row>
    <row r="627" spans="7:15" x14ac:dyDescent="0.3">
      <c r="G627" s="7" t="s">
        <v>19</v>
      </c>
      <c r="H627" s="7" t="s">
        <v>377</v>
      </c>
      <c r="N627" s="7" t="s">
        <v>19</v>
      </c>
      <c r="O627" s="7" t="s">
        <v>377</v>
      </c>
    </row>
    <row r="628" spans="7:15" x14ac:dyDescent="0.3">
      <c r="G628" s="6" t="s">
        <v>19</v>
      </c>
      <c r="H628" s="6" t="s">
        <v>110</v>
      </c>
      <c r="N628" s="6" t="s">
        <v>19</v>
      </c>
      <c r="O628" s="6" t="s">
        <v>110</v>
      </c>
    </row>
    <row r="629" spans="7:15" x14ac:dyDescent="0.3">
      <c r="G629" s="7" t="s">
        <v>19</v>
      </c>
      <c r="H629" s="7" t="s">
        <v>79</v>
      </c>
      <c r="N629" s="7" t="s">
        <v>19</v>
      </c>
      <c r="O629" s="7" t="s">
        <v>79</v>
      </c>
    </row>
    <row r="630" spans="7:15" x14ac:dyDescent="0.3">
      <c r="G630" s="6" t="s">
        <v>19</v>
      </c>
      <c r="H630" s="6" t="s">
        <v>82</v>
      </c>
      <c r="N630" s="6" t="s">
        <v>19</v>
      </c>
      <c r="O630" s="6" t="s">
        <v>82</v>
      </c>
    </row>
    <row r="631" spans="7:15" x14ac:dyDescent="0.3">
      <c r="G631" s="7" t="s">
        <v>19</v>
      </c>
      <c r="H631" s="7" t="s">
        <v>641</v>
      </c>
      <c r="N631" s="7" t="s">
        <v>19</v>
      </c>
      <c r="O631" s="7" t="s">
        <v>641</v>
      </c>
    </row>
    <row r="632" spans="7:15" x14ac:dyDescent="0.3">
      <c r="G632" s="6" t="s">
        <v>19</v>
      </c>
      <c r="H632" s="6" t="s">
        <v>24</v>
      </c>
      <c r="N632" s="6" t="s">
        <v>19</v>
      </c>
      <c r="O632" s="6" t="s">
        <v>24</v>
      </c>
    </row>
    <row r="633" spans="7:15" x14ac:dyDescent="0.3">
      <c r="G633" s="7" t="s">
        <v>19</v>
      </c>
      <c r="H633" s="7" t="s">
        <v>587</v>
      </c>
      <c r="N633" s="7" t="s">
        <v>19</v>
      </c>
      <c r="O633" s="7" t="s">
        <v>587</v>
      </c>
    </row>
    <row r="634" spans="7:15" x14ac:dyDescent="0.3">
      <c r="G634" s="6" t="s">
        <v>19</v>
      </c>
      <c r="H634" s="6" t="s">
        <v>33</v>
      </c>
      <c r="N634" s="6" t="s">
        <v>19</v>
      </c>
      <c r="O634" s="6" t="s">
        <v>33</v>
      </c>
    </row>
    <row r="635" spans="7:15" x14ac:dyDescent="0.3">
      <c r="G635" s="7" t="s">
        <v>19</v>
      </c>
      <c r="H635" s="7" t="s">
        <v>33</v>
      </c>
      <c r="N635" s="7" t="s">
        <v>19</v>
      </c>
      <c r="O635" s="7" t="s">
        <v>33</v>
      </c>
    </row>
    <row r="636" spans="7:15" x14ac:dyDescent="0.3">
      <c r="G636" s="6" t="s">
        <v>19</v>
      </c>
      <c r="H636" s="6" t="s">
        <v>33</v>
      </c>
      <c r="N636" s="6" t="s">
        <v>19</v>
      </c>
      <c r="O636" s="6" t="s">
        <v>33</v>
      </c>
    </row>
    <row r="637" spans="7:15" x14ac:dyDescent="0.3">
      <c r="G637" s="7" t="s">
        <v>19</v>
      </c>
      <c r="H637" s="7" t="s">
        <v>33</v>
      </c>
      <c r="N637" s="7" t="s">
        <v>19</v>
      </c>
      <c r="O637" s="7" t="s">
        <v>33</v>
      </c>
    </row>
    <row r="638" spans="7:15" x14ac:dyDescent="0.3">
      <c r="G638" s="6" t="s">
        <v>19</v>
      </c>
      <c r="H638" s="6" t="s">
        <v>33</v>
      </c>
      <c r="N638" s="6" t="s">
        <v>19</v>
      </c>
      <c r="O638" s="6" t="s">
        <v>33</v>
      </c>
    </row>
    <row r="639" spans="7:15" x14ac:dyDescent="0.3">
      <c r="G639" s="7" t="s">
        <v>19</v>
      </c>
      <c r="H639" s="7" t="s">
        <v>33</v>
      </c>
      <c r="N639" s="7" t="s">
        <v>19</v>
      </c>
      <c r="O639" s="7" t="s">
        <v>33</v>
      </c>
    </row>
    <row r="640" spans="7:15" x14ac:dyDescent="0.3">
      <c r="G640" s="6" t="s">
        <v>19</v>
      </c>
      <c r="H640" s="6" t="s">
        <v>33</v>
      </c>
      <c r="N640" s="6" t="s">
        <v>19</v>
      </c>
      <c r="O640" s="6" t="s">
        <v>33</v>
      </c>
    </row>
    <row r="641" spans="7:15" x14ac:dyDescent="0.3">
      <c r="G641" s="7" t="s">
        <v>19</v>
      </c>
      <c r="H641" s="7" t="s">
        <v>55</v>
      </c>
      <c r="N641" s="7" t="s">
        <v>19</v>
      </c>
      <c r="O641" s="7" t="s">
        <v>55</v>
      </c>
    </row>
    <row r="642" spans="7:15" x14ac:dyDescent="0.3">
      <c r="G642" s="6" t="s">
        <v>19</v>
      </c>
      <c r="H642" s="6" t="s">
        <v>55</v>
      </c>
      <c r="N642" s="6" t="s">
        <v>19</v>
      </c>
      <c r="O642" s="6" t="s">
        <v>55</v>
      </c>
    </row>
    <row r="643" spans="7:15" x14ac:dyDescent="0.3">
      <c r="G643" s="7" t="s">
        <v>19</v>
      </c>
      <c r="H643" s="7" t="s">
        <v>55</v>
      </c>
      <c r="N643" s="7" t="s">
        <v>19</v>
      </c>
      <c r="O643" s="7" t="s">
        <v>55</v>
      </c>
    </row>
    <row r="644" spans="7:15" x14ac:dyDescent="0.3">
      <c r="G644" s="6" t="s">
        <v>19</v>
      </c>
      <c r="H644" s="6" t="s">
        <v>55</v>
      </c>
      <c r="N644" s="6" t="s">
        <v>19</v>
      </c>
      <c r="O644" s="6" t="s">
        <v>55</v>
      </c>
    </row>
    <row r="645" spans="7:15" x14ac:dyDescent="0.3">
      <c r="G645" s="7" t="s">
        <v>19</v>
      </c>
      <c r="H645" s="7" t="s">
        <v>59</v>
      </c>
      <c r="N645" s="7" t="s">
        <v>19</v>
      </c>
      <c r="O645" s="7" t="s">
        <v>59</v>
      </c>
    </row>
    <row r="646" spans="7:15" x14ac:dyDescent="0.3">
      <c r="G646" s="6" t="s">
        <v>19</v>
      </c>
      <c r="H646" s="6" t="s">
        <v>62</v>
      </c>
      <c r="N646" s="6" t="s">
        <v>19</v>
      </c>
      <c r="O646" s="6" t="s">
        <v>62</v>
      </c>
    </row>
    <row r="647" spans="7:15" x14ac:dyDescent="0.3">
      <c r="G647" s="7" t="s">
        <v>19</v>
      </c>
      <c r="H647" s="7" t="s">
        <v>62</v>
      </c>
      <c r="N647" s="7" t="s">
        <v>19</v>
      </c>
      <c r="O647" s="7" t="s">
        <v>62</v>
      </c>
    </row>
    <row r="648" spans="7:15" x14ac:dyDescent="0.3">
      <c r="G648" s="6" t="s">
        <v>19</v>
      </c>
      <c r="H648" s="6" t="s">
        <v>103</v>
      </c>
      <c r="N648" s="6" t="s">
        <v>19</v>
      </c>
      <c r="O648" s="6" t="s">
        <v>103</v>
      </c>
    </row>
    <row r="649" spans="7:15" x14ac:dyDescent="0.3">
      <c r="G649" s="7" t="s">
        <v>19</v>
      </c>
      <c r="H649" s="7" t="s">
        <v>77</v>
      </c>
      <c r="N649" s="7" t="s">
        <v>19</v>
      </c>
      <c r="O649" s="7" t="s">
        <v>77</v>
      </c>
    </row>
    <row r="650" spans="7:15" x14ac:dyDescent="0.3">
      <c r="G650" s="6" t="s">
        <v>19</v>
      </c>
      <c r="H650" s="6" t="s">
        <v>77</v>
      </c>
      <c r="N650" s="6" t="s">
        <v>19</v>
      </c>
      <c r="O650" s="6" t="s">
        <v>77</v>
      </c>
    </row>
    <row r="651" spans="7:15" x14ac:dyDescent="0.3">
      <c r="G651" s="7" t="s">
        <v>19</v>
      </c>
      <c r="H651" s="7" t="s">
        <v>82</v>
      </c>
      <c r="N651" s="7" t="s">
        <v>19</v>
      </c>
      <c r="O651" s="7" t="s">
        <v>82</v>
      </c>
    </row>
    <row r="652" spans="7:15" x14ac:dyDescent="0.3">
      <c r="G652" s="6" t="s">
        <v>19</v>
      </c>
      <c r="H652" s="6" t="s">
        <v>115</v>
      </c>
      <c r="N652" s="6" t="s">
        <v>19</v>
      </c>
      <c r="O652" s="6" t="s">
        <v>115</v>
      </c>
    </row>
    <row r="653" spans="7:15" x14ac:dyDescent="0.3">
      <c r="G653" s="7" t="s">
        <v>19</v>
      </c>
      <c r="H653" s="7" t="s">
        <v>115</v>
      </c>
      <c r="N653" s="7" t="s">
        <v>19</v>
      </c>
      <c r="O653" s="7" t="s">
        <v>115</v>
      </c>
    </row>
    <row r="654" spans="7:15" x14ac:dyDescent="0.3">
      <c r="G654" s="6" t="s">
        <v>19</v>
      </c>
      <c r="H654" s="6" t="s">
        <v>24</v>
      </c>
      <c r="N654" s="6" t="s">
        <v>19</v>
      </c>
      <c r="O654" s="6" t="s">
        <v>24</v>
      </c>
    </row>
    <row r="655" spans="7:15" x14ac:dyDescent="0.3">
      <c r="G655" s="7" t="s">
        <v>19</v>
      </c>
      <c r="H655" s="7" t="s">
        <v>147</v>
      </c>
      <c r="N655" s="7" t="s">
        <v>19</v>
      </c>
      <c r="O655" s="7" t="s">
        <v>147</v>
      </c>
    </row>
    <row r="656" spans="7:15" x14ac:dyDescent="0.3">
      <c r="G656" s="6" t="s">
        <v>19</v>
      </c>
      <c r="H656" s="6" t="s">
        <v>33</v>
      </c>
      <c r="N656" s="6" t="s">
        <v>19</v>
      </c>
      <c r="O656" s="6" t="s">
        <v>33</v>
      </c>
    </row>
    <row r="657" spans="7:15" x14ac:dyDescent="0.3">
      <c r="G657" s="7" t="s">
        <v>19</v>
      </c>
      <c r="H657" s="7" t="s">
        <v>33</v>
      </c>
      <c r="N657" s="7" t="s">
        <v>19</v>
      </c>
      <c r="O657" s="7" t="s">
        <v>33</v>
      </c>
    </row>
    <row r="658" spans="7:15" x14ac:dyDescent="0.3">
      <c r="G658" s="6" t="s">
        <v>19</v>
      </c>
      <c r="H658" s="6" t="s">
        <v>33</v>
      </c>
      <c r="N658" s="6" t="s">
        <v>19</v>
      </c>
      <c r="O658" s="6" t="s">
        <v>33</v>
      </c>
    </row>
    <row r="659" spans="7:15" x14ac:dyDescent="0.3">
      <c r="G659" s="7" t="s">
        <v>19</v>
      </c>
      <c r="H659" s="7" t="s">
        <v>670</v>
      </c>
      <c r="N659" s="7" t="s">
        <v>19</v>
      </c>
      <c r="O659" s="7" t="s">
        <v>670</v>
      </c>
    </row>
    <row r="660" spans="7:15" x14ac:dyDescent="0.3">
      <c r="G660" s="6" t="s">
        <v>19</v>
      </c>
      <c r="H660" s="6" t="s">
        <v>62</v>
      </c>
      <c r="N660" s="6" t="s">
        <v>19</v>
      </c>
      <c r="O660" s="6" t="s">
        <v>62</v>
      </c>
    </row>
    <row r="661" spans="7:15" x14ac:dyDescent="0.3">
      <c r="G661" s="7" t="s">
        <v>19</v>
      </c>
      <c r="H661" s="7" t="s">
        <v>62</v>
      </c>
      <c r="N661" s="7" t="s">
        <v>19</v>
      </c>
      <c r="O661" s="7" t="s">
        <v>62</v>
      </c>
    </row>
    <row r="662" spans="7:15" x14ac:dyDescent="0.3">
      <c r="G662" s="6" t="s">
        <v>19</v>
      </c>
      <c r="H662" s="6" t="s">
        <v>62</v>
      </c>
      <c r="N662" s="6" t="s">
        <v>19</v>
      </c>
      <c r="O662" s="6" t="s">
        <v>62</v>
      </c>
    </row>
    <row r="663" spans="7:15" x14ac:dyDescent="0.3">
      <c r="G663" s="7" t="s">
        <v>19</v>
      </c>
      <c r="H663" s="7" t="s">
        <v>62</v>
      </c>
      <c r="N663" s="7" t="s">
        <v>19</v>
      </c>
      <c r="O663" s="7" t="s">
        <v>62</v>
      </c>
    </row>
    <row r="664" spans="7:15" x14ac:dyDescent="0.3">
      <c r="G664" s="6" t="s">
        <v>19</v>
      </c>
      <c r="H664" s="6" t="s">
        <v>201</v>
      </c>
      <c r="N664" s="6" t="s">
        <v>19</v>
      </c>
      <c r="O664" s="6" t="s">
        <v>201</v>
      </c>
    </row>
    <row r="665" spans="7:15" x14ac:dyDescent="0.3">
      <c r="G665" s="7" t="s">
        <v>19</v>
      </c>
      <c r="H665" s="7" t="s">
        <v>72</v>
      </c>
      <c r="N665" s="7" t="s">
        <v>19</v>
      </c>
      <c r="O665" s="7" t="s">
        <v>72</v>
      </c>
    </row>
    <row r="666" spans="7:15" x14ac:dyDescent="0.3">
      <c r="G666" s="6" t="s">
        <v>19</v>
      </c>
      <c r="H666" s="6" t="s">
        <v>72</v>
      </c>
      <c r="N666" s="6" t="s">
        <v>19</v>
      </c>
      <c r="O666" s="6" t="s">
        <v>72</v>
      </c>
    </row>
    <row r="667" spans="7:15" x14ac:dyDescent="0.3">
      <c r="G667" s="7" t="s">
        <v>19</v>
      </c>
      <c r="H667" s="7" t="s">
        <v>77</v>
      </c>
      <c r="N667" s="7" t="s">
        <v>19</v>
      </c>
      <c r="O667" s="7" t="s">
        <v>77</v>
      </c>
    </row>
    <row r="668" spans="7:15" x14ac:dyDescent="0.3">
      <c r="G668" s="6" t="s">
        <v>19</v>
      </c>
      <c r="H668" s="6" t="s">
        <v>77</v>
      </c>
      <c r="N668" s="6" t="s">
        <v>19</v>
      </c>
      <c r="O668" s="6" t="s">
        <v>77</v>
      </c>
    </row>
    <row r="669" spans="7:15" x14ac:dyDescent="0.3">
      <c r="G669" s="7" t="s">
        <v>19</v>
      </c>
      <c r="H669" s="7" t="s">
        <v>77</v>
      </c>
      <c r="N669" s="7" t="s">
        <v>19</v>
      </c>
      <c r="O669" s="7" t="s">
        <v>77</v>
      </c>
    </row>
    <row r="670" spans="7:15" x14ac:dyDescent="0.3">
      <c r="G670" s="6" t="s">
        <v>19</v>
      </c>
      <c r="H670" s="6" t="s">
        <v>113</v>
      </c>
      <c r="N670" s="6" t="s">
        <v>19</v>
      </c>
      <c r="O670" s="6" t="s">
        <v>113</v>
      </c>
    </row>
    <row r="671" spans="7:15" x14ac:dyDescent="0.3">
      <c r="G671" s="7" t="s">
        <v>19</v>
      </c>
      <c r="H671" s="7" t="s">
        <v>82</v>
      </c>
      <c r="N671" s="7" t="s">
        <v>19</v>
      </c>
      <c r="O671" s="7" t="s">
        <v>82</v>
      </c>
    </row>
    <row r="672" spans="7:15" x14ac:dyDescent="0.3">
      <c r="G672" s="6" t="s">
        <v>19</v>
      </c>
      <c r="H672" s="6" t="s">
        <v>24</v>
      </c>
      <c r="N672" s="6" t="s">
        <v>19</v>
      </c>
      <c r="O672" s="6" t="s">
        <v>24</v>
      </c>
    </row>
    <row r="673" spans="7:15" x14ac:dyDescent="0.3">
      <c r="G673" s="7" t="s">
        <v>19</v>
      </c>
      <c r="H673" s="7" t="s">
        <v>28</v>
      </c>
      <c r="N673" s="7" t="s">
        <v>19</v>
      </c>
      <c r="O673" s="7" t="s">
        <v>28</v>
      </c>
    </row>
    <row r="674" spans="7:15" x14ac:dyDescent="0.3">
      <c r="G674" s="6" t="s">
        <v>19</v>
      </c>
      <c r="H674" s="6" t="s">
        <v>147</v>
      </c>
      <c r="N674" s="6" t="s">
        <v>19</v>
      </c>
      <c r="O674" s="6" t="s">
        <v>147</v>
      </c>
    </row>
    <row r="675" spans="7:15" x14ac:dyDescent="0.3">
      <c r="G675" s="7" t="s">
        <v>19</v>
      </c>
      <c r="H675" s="7" t="s">
        <v>33</v>
      </c>
      <c r="N675" s="7" t="s">
        <v>19</v>
      </c>
      <c r="O675" s="7" t="s">
        <v>33</v>
      </c>
    </row>
    <row r="676" spans="7:15" x14ac:dyDescent="0.3">
      <c r="G676" s="6" t="s">
        <v>19</v>
      </c>
      <c r="H676" s="6" t="s">
        <v>33</v>
      </c>
      <c r="N676" s="6" t="s">
        <v>19</v>
      </c>
      <c r="O676" s="6" t="s">
        <v>33</v>
      </c>
    </row>
    <row r="677" spans="7:15" x14ac:dyDescent="0.3">
      <c r="G677" s="7" t="s">
        <v>19</v>
      </c>
      <c r="H677" s="7" t="s">
        <v>33</v>
      </c>
      <c r="N677" s="7" t="s">
        <v>19</v>
      </c>
      <c r="O677" s="7" t="s">
        <v>33</v>
      </c>
    </row>
    <row r="678" spans="7:15" x14ac:dyDescent="0.3">
      <c r="G678" s="6" t="s">
        <v>19</v>
      </c>
      <c r="H678" s="6" t="s">
        <v>33</v>
      </c>
      <c r="N678" s="6" t="s">
        <v>19</v>
      </c>
      <c r="O678" s="6" t="s">
        <v>33</v>
      </c>
    </row>
    <row r="679" spans="7:15" x14ac:dyDescent="0.3">
      <c r="G679" s="7" t="s">
        <v>19</v>
      </c>
      <c r="H679" s="7" t="s">
        <v>33</v>
      </c>
      <c r="N679" s="7" t="s">
        <v>19</v>
      </c>
      <c r="O679" s="7" t="s">
        <v>33</v>
      </c>
    </row>
    <row r="680" spans="7:15" x14ac:dyDescent="0.3">
      <c r="G680" s="6" t="s">
        <v>19</v>
      </c>
      <c r="H680" s="6" t="s">
        <v>33</v>
      </c>
      <c r="N680" s="6" t="s">
        <v>19</v>
      </c>
      <c r="O680" s="6" t="s">
        <v>33</v>
      </c>
    </row>
    <row r="681" spans="7:15" x14ac:dyDescent="0.3">
      <c r="G681" s="7" t="s">
        <v>19</v>
      </c>
      <c r="H681" s="7" t="s">
        <v>33</v>
      </c>
      <c r="N681" s="7" t="s">
        <v>19</v>
      </c>
      <c r="O681" s="7" t="s">
        <v>33</v>
      </c>
    </row>
    <row r="682" spans="7:15" x14ac:dyDescent="0.3">
      <c r="G682" s="6" t="s">
        <v>19</v>
      </c>
      <c r="H682" s="6" t="s">
        <v>33</v>
      </c>
      <c r="N682" s="6" t="s">
        <v>19</v>
      </c>
      <c r="O682" s="6" t="s">
        <v>33</v>
      </c>
    </row>
    <row r="683" spans="7:15" x14ac:dyDescent="0.3">
      <c r="G683" s="7" t="s">
        <v>19</v>
      </c>
      <c r="H683" s="7" t="s">
        <v>364</v>
      </c>
      <c r="N683" s="7" t="s">
        <v>19</v>
      </c>
      <c r="O683" s="7" t="s">
        <v>364</v>
      </c>
    </row>
    <row r="684" spans="7:15" x14ac:dyDescent="0.3">
      <c r="G684" s="6" t="s">
        <v>19</v>
      </c>
      <c r="H684" s="6" t="s">
        <v>98</v>
      </c>
      <c r="N684" s="6" t="s">
        <v>19</v>
      </c>
      <c r="O684" s="6" t="s">
        <v>98</v>
      </c>
    </row>
    <row r="685" spans="7:15" x14ac:dyDescent="0.3">
      <c r="G685" s="7" t="s">
        <v>19</v>
      </c>
      <c r="H685" s="7" t="s">
        <v>62</v>
      </c>
      <c r="N685" s="7" t="s">
        <v>19</v>
      </c>
      <c r="O685" s="7" t="s">
        <v>62</v>
      </c>
    </row>
    <row r="686" spans="7:15" x14ac:dyDescent="0.3">
      <c r="G686" s="6" t="s">
        <v>19</v>
      </c>
      <c r="H686" s="6" t="s">
        <v>62</v>
      </c>
      <c r="N686" s="6" t="s">
        <v>19</v>
      </c>
      <c r="O686" s="6" t="s">
        <v>62</v>
      </c>
    </row>
    <row r="687" spans="7:15" x14ac:dyDescent="0.3">
      <c r="G687" s="7" t="s">
        <v>19</v>
      </c>
      <c r="H687" s="7" t="s">
        <v>72</v>
      </c>
      <c r="N687" s="7" t="s">
        <v>19</v>
      </c>
      <c r="O687" s="7" t="s">
        <v>72</v>
      </c>
    </row>
    <row r="688" spans="7:15" x14ac:dyDescent="0.3">
      <c r="G688" s="6" t="s">
        <v>19</v>
      </c>
      <c r="H688" s="6" t="s">
        <v>700</v>
      </c>
      <c r="N688" s="6" t="s">
        <v>19</v>
      </c>
      <c r="O688" s="6" t="s">
        <v>700</v>
      </c>
    </row>
    <row r="689" spans="7:15" x14ac:dyDescent="0.3">
      <c r="G689" s="7" t="s">
        <v>19</v>
      </c>
      <c r="H689" s="7" t="s">
        <v>108</v>
      </c>
      <c r="N689" s="7" t="s">
        <v>19</v>
      </c>
      <c r="O689" s="7" t="s">
        <v>108</v>
      </c>
    </row>
    <row r="690" spans="7:15" x14ac:dyDescent="0.3">
      <c r="G690" s="6" t="s">
        <v>19</v>
      </c>
      <c r="H690" s="6" t="s">
        <v>110</v>
      </c>
      <c r="N690" s="6" t="s">
        <v>19</v>
      </c>
      <c r="O690" s="6" t="s">
        <v>110</v>
      </c>
    </row>
    <row r="691" spans="7:15" x14ac:dyDescent="0.3">
      <c r="G691" s="7" t="s">
        <v>19</v>
      </c>
      <c r="H691" s="7" t="s">
        <v>110</v>
      </c>
      <c r="N691" s="7" t="s">
        <v>19</v>
      </c>
      <c r="O691" s="7" t="s">
        <v>110</v>
      </c>
    </row>
    <row r="692" spans="7:15" x14ac:dyDescent="0.3">
      <c r="G692" s="6" t="s">
        <v>19</v>
      </c>
      <c r="H692" s="6" t="s">
        <v>115</v>
      </c>
      <c r="N692" s="6" t="s">
        <v>19</v>
      </c>
      <c r="O692" s="6" t="s">
        <v>115</v>
      </c>
    </row>
    <row r="693" spans="7:15" x14ac:dyDescent="0.3">
      <c r="G693" s="7" t="s">
        <v>19</v>
      </c>
      <c r="H693" s="7" t="s">
        <v>24</v>
      </c>
      <c r="N693" s="7" t="s">
        <v>19</v>
      </c>
      <c r="O693" s="7" t="s">
        <v>24</v>
      </c>
    </row>
    <row r="694" spans="7:15" x14ac:dyDescent="0.3">
      <c r="G694" s="6" t="s">
        <v>19</v>
      </c>
      <c r="H694" s="6" t="s">
        <v>147</v>
      </c>
      <c r="N694" s="6" t="s">
        <v>19</v>
      </c>
      <c r="O694" s="6" t="s">
        <v>147</v>
      </c>
    </row>
    <row r="695" spans="7:15" x14ac:dyDescent="0.3">
      <c r="G695" s="7" t="s">
        <v>19</v>
      </c>
      <c r="H695" s="7" t="s">
        <v>33</v>
      </c>
      <c r="N695" s="7" t="s">
        <v>19</v>
      </c>
      <c r="O695" s="7" t="s">
        <v>33</v>
      </c>
    </row>
    <row r="696" spans="7:15" x14ac:dyDescent="0.3">
      <c r="G696" s="6" t="s">
        <v>19</v>
      </c>
      <c r="H696" s="6" t="s">
        <v>33</v>
      </c>
      <c r="N696" s="6" t="s">
        <v>19</v>
      </c>
      <c r="O696" s="6" t="s">
        <v>33</v>
      </c>
    </row>
    <row r="697" spans="7:15" x14ac:dyDescent="0.3">
      <c r="G697" s="7" t="s">
        <v>19</v>
      </c>
      <c r="H697" s="7" t="s">
        <v>33</v>
      </c>
      <c r="N697" s="7" t="s">
        <v>19</v>
      </c>
      <c r="O697" s="7" t="s">
        <v>33</v>
      </c>
    </row>
    <row r="698" spans="7:15" x14ac:dyDescent="0.3">
      <c r="G698" s="6" t="s">
        <v>19</v>
      </c>
      <c r="H698" s="6" t="s">
        <v>33</v>
      </c>
      <c r="N698" s="6" t="s">
        <v>19</v>
      </c>
      <c r="O698" s="6" t="s">
        <v>33</v>
      </c>
    </row>
    <row r="699" spans="7:15" x14ac:dyDescent="0.3">
      <c r="G699" s="7" t="s">
        <v>19</v>
      </c>
      <c r="H699" s="7" t="s">
        <v>33</v>
      </c>
      <c r="N699" s="7" t="s">
        <v>19</v>
      </c>
      <c r="O699" s="7" t="s">
        <v>33</v>
      </c>
    </row>
    <row r="700" spans="7:15" x14ac:dyDescent="0.3">
      <c r="G700" s="6" t="s">
        <v>19</v>
      </c>
      <c r="H700" s="6" t="s">
        <v>52</v>
      </c>
      <c r="N700" s="6" t="s">
        <v>19</v>
      </c>
      <c r="O700" s="6" t="s">
        <v>52</v>
      </c>
    </row>
    <row r="701" spans="7:15" x14ac:dyDescent="0.3">
      <c r="G701" s="7" t="s">
        <v>19</v>
      </c>
      <c r="H701" s="7" t="s">
        <v>52</v>
      </c>
      <c r="N701" s="7" t="s">
        <v>19</v>
      </c>
      <c r="O701" s="7" t="s">
        <v>52</v>
      </c>
    </row>
    <row r="702" spans="7:15" x14ac:dyDescent="0.3">
      <c r="G702" s="6" t="s">
        <v>19</v>
      </c>
      <c r="H702" s="6" t="s">
        <v>158</v>
      </c>
      <c r="N702" s="6" t="s">
        <v>19</v>
      </c>
      <c r="O702" s="6" t="s">
        <v>158</v>
      </c>
    </row>
    <row r="703" spans="7:15" x14ac:dyDescent="0.3">
      <c r="G703" s="7" t="s">
        <v>19</v>
      </c>
      <c r="H703" s="7" t="s">
        <v>62</v>
      </c>
      <c r="N703" s="7" t="s">
        <v>19</v>
      </c>
      <c r="O703" s="7" t="s">
        <v>62</v>
      </c>
    </row>
    <row r="704" spans="7:15" x14ac:dyDescent="0.3">
      <c r="G704" s="6" t="s">
        <v>19</v>
      </c>
      <c r="H704" s="6" t="s">
        <v>103</v>
      </c>
      <c r="N704" s="6" t="s">
        <v>19</v>
      </c>
      <c r="O704" s="6" t="s">
        <v>103</v>
      </c>
    </row>
    <row r="705" spans="7:15" x14ac:dyDescent="0.3">
      <c r="G705" s="7" t="s">
        <v>19</v>
      </c>
      <c r="H705" s="7" t="s">
        <v>77</v>
      </c>
      <c r="N705" s="7" t="s">
        <v>19</v>
      </c>
      <c r="O705" s="7" t="s">
        <v>77</v>
      </c>
    </row>
    <row r="706" spans="7:15" x14ac:dyDescent="0.3">
      <c r="G706" s="6" t="s">
        <v>19</v>
      </c>
      <c r="H706" s="6" t="s">
        <v>108</v>
      </c>
      <c r="N706" s="6" t="s">
        <v>19</v>
      </c>
      <c r="O706" s="6" t="s">
        <v>108</v>
      </c>
    </row>
    <row r="707" spans="7:15" x14ac:dyDescent="0.3">
      <c r="G707" s="7" t="s">
        <v>19</v>
      </c>
      <c r="H707" s="7" t="s">
        <v>108</v>
      </c>
      <c r="N707" s="7" t="s">
        <v>19</v>
      </c>
      <c r="O707" s="7" t="s">
        <v>108</v>
      </c>
    </row>
    <row r="708" spans="7:15" x14ac:dyDescent="0.3">
      <c r="G708" s="6" t="s">
        <v>19</v>
      </c>
      <c r="H708" s="6" t="s">
        <v>108</v>
      </c>
      <c r="N708" s="6" t="s">
        <v>19</v>
      </c>
      <c r="O708" s="6" t="s">
        <v>108</v>
      </c>
    </row>
    <row r="709" spans="7:15" x14ac:dyDescent="0.3">
      <c r="G709" s="7" t="s">
        <v>19</v>
      </c>
      <c r="H709" s="7" t="s">
        <v>115</v>
      </c>
      <c r="N709" s="7" t="s">
        <v>19</v>
      </c>
      <c r="O709" s="7" t="s">
        <v>115</v>
      </c>
    </row>
    <row r="710" spans="7:15" x14ac:dyDescent="0.3">
      <c r="G710" s="6" t="s">
        <v>19</v>
      </c>
      <c r="H710" s="6" t="s">
        <v>115</v>
      </c>
      <c r="N710" s="6" t="s">
        <v>19</v>
      </c>
      <c r="O710" s="6" t="s">
        <v>115</v>
      </c>
    </row>
    <row r="711" spans="7:15" x14ac:dyDescent="0.3">
      <c r="G711" s="7" t="s">
        <v>19</v>
      </c>
      <c r="H711" s="7" t="s">
        <v>115</v>
      </c>
      <c r="N711" s="7" t="s">
        <v>19</v>
      </c>
      <c r="O711" s="7" t="s">
        <v>115</v>
      </c>
    </row>
    <row r="712" spans="7:15" x14ac:dyDescent="0.3">
      <c r="G712" s="6" t="s">
        <v>19</v>
      </c>
      <c r="H712" s="6" t="s">
        <v>147</v>
      </c>
      <c r="N712" s="6" t="s">
        <v>19</v>
      </c>
      <c r="O712" s="6" t="s">
        <v>147</v>
      </c>
    </row>
    <row r="713" spans="7:15" x14ac:dyDescent="0.3">
      <c r="G713" s="7" t="s">
        <v>19</v>
      </c>
      <c r="H713" s="7" t="s">
        <v>33</v>
      </c>
      <c r="N713" s="7" t="s">
        <v>19</v>
      </c>
      <c r="O713" s="7" t="s">
        <v>33</v>
      </c>
    </row>
    <row r="714" spans="7:15" x14ac:dyDescent="0.3">
      <c r="G714" s="6" t="s">
        <v>19</v>
      </c>
      <c r="H714" s="6" t="s">
        <v>33</v>
      </c>
      <c r="N714" s="6" t="s">
        <v>19</v>
      </c>
      <c r="O714" s="6" t="s">
        <v>33</v>
      </c>
    </row>
    <row r="715" spans="7:15" x14ac:dyDescent="0.3">
      <c r="G715" s="7" t="s">
        <v>19</v>
      </c>
      <c r="H715" s="7" t="s">
        <v>33</v>
      </c>
      <c r="N715" s="7" t="s">
        <v>19</v>
      </c>
      <c r="O715" s="7" t="s">
        <v>33</v>
      </c>
    </row>
    <row r="716" spans="7:15" x14ac:dyDescent="0.3">
      <c r="G716" s="6" t="s">
        <v>19</v>
      </c>
      <c r="H716" s="6" t="s">
        <v>33</v>
      </c>
      <c r="N716" s="6" t="s">
        <v>19</v>
      </c>
      <c r="O716" s="6" t="s">
        <v>33</v>
      </c>
    </row>
    <row r="717" spans="7:15" x14ac:dyDescent="0.3">
      <c r="G717" s="7" t="s">
        <v>19</v>
      </c>
      <c r="H717" s="7" t="s">
        <v>33</v>
      </c>
      <c r="N717" s="7" t="s">
        <v>19</v>
      </c>
      <c r="O717" s="7" t="s">
        <v>33</v>
      </c>
    </row>
    <row r="718" spans="7:15" x14ac:dyDescent="0.3">
      <c r="G718" s="6" t="s">
        <v>19</v>
      </c>
      <c r="H718" s="6" t="s">
        <v>33</v>
      </c>
      <c r="N718" s="6" t="s">
        <v>19</v>
      </c>
      <c r="O718" s="6" t="s">
        <v>33</v>
      </c>
    </row>
    <row r="719" spans="7:15" x14ac:dyDescent="0.3">
      <c r="G719" s="7" t="s">
        <v>19</v>
      </c>
      <c r="H719" s="7" t="s">
        <v>33</v>
      </c>
      <c r="N719" s="7" t="s">
        <v>19</v>
      </c>
      <c r="O719" s="7" t="s">
        <v>33</v>
      </c>
    </row>
    <row r="720" spans="7:15" x14ac:dyDescent="0.3">
      <c r="G720" s="6" t="s">
        <v>19</v>
      </c>
      <c r="H720" s="6" t="s">
        <v>33</v>
      </c>
      <c r="N720" s="6" t="s">
        <v>19</v>
      </c>
      <c r="O720" s="6" t="s">
        <v>33</v>
      </c>
    </row>
    <row r="721" spans="7:15" x14ac:dyDescent="0.3">
      <c r="G721" s="7" t="s">
        <v>19</v>
      </c>
      <c r="H721" s="7" t="s">
        <v>33</v>
      </c>
      <c r="N721" s="7" t="s">
        <v>19</v>
      </c>
      <c r="O721" s="7" t="s">
        <v>33</v>
      </c>
    </row>
    <row r="722" spans="7:15" x14ac:dyDescent="0.3">
      <c r="G722" s="6" t="s">
        <v>19</v>
      </c>
      <c r="H722" s="6" t="s">
        <v>33</v>
      </c>
      <c r="N722" s="6" t="s">
        <v>19</v>
      </c>
      <c r="O722" s="6" t="s">
        <v>33</v>
      </c>
    </row>
    <row r="723" spans="7:15" x14ac:dyDescent="0.3">
      <c r="G723" s="7" t="s">
        <v>19</v>
      </c>
      <c r="H723" s="7" t="s">
        <v>33</v>
      </c>
      <c r="N723" s="7" t="s">
        <v>19</v>
      </c>
      <c r="O723" s="7" t="s">
        <v>33</v>
      </c>
    </row>
    <row r="724" spans="7:15" x14ac:dyDescent="0.3">
      <c r="G724" s="6" t="s">
        <v>19</v>
      </c>
      <c r="H724" s="6" t="s">
        <v>49</v>
      </c>
      <c r="N724" s="6" t="s">
        <v>19</v>
      </c>
      <c r="O724" s="6" t="s">
        <v>49</v>
      </c>
    </row>
    <row r="725" spans="7:15" x14ac:dyDescent="0.3">
      <c r="G725" s="7" t="s">
        <v>19</v>
      </c>
      <c r="H725" s="7" t="s">
        <v>55</v>
      </c>
      <c r="N725" s="7" t="s">
        <v>19</v>
      </c>
      <c r="O725" s="7" t="s">
        <v>55</v>
      </c>
    </row>
    <row r="726" spans="7:15" x14ac:dyDescent="0.3">
      <c r="G726" s="6" t="s">
        <v>19</v>
      </c>
      <c r="H726" s="6" t="s">
        <v>55</v>
      </c>
      <c r="N726" s="6" t="s">
        <v>19</v>
      </c>
      <c r="O726" s="6" t="s">
        <v>55</v>
      </c>
    </row>
    <row r="727" spans="7:15" x14ac:dyDescent="0.3">
      <c r="G727" s="7" t="s">
        <v>19</v>
      </c>
      <c r="H727" s="7" t="s">
        <v>55</v>
      </c>
      <c r="N727" s="7" t="s">
        <v>19</v>
      </c>
      <c r="O727" s="7" t="s">
        <v>55</v>
      </c>
    </row>
    <row r="728" spans="7:15" x14ac:dyDescent="0.3">
      <c r="G728" s="6" t="s">
        <v>19</v>
      </c>
      <c r="H728" s="6" t="s">
        <v>59</v>
      </c>
      <c r="N728" s="6" t="s">
        <v>19</v>
      </c>
      <c r="O728" s="6" t="s">
        <v>59</v>
      </c>
    </row>
    <row r="729" spans="7:15" x14ac:dyDescent="0.3">
      <c r="G729" s="7" t="s">
        <v>19</v>
      </c>
      <c r="H729" s="7" t="s">
        <v>59</v>
      </c>
      <c r="N729" s="7" t="s">
        <v>19</v>
      </c>
      <c r="O729" s="7" t="s">
        <v>59</v>
      </c>
    </row>
    <row r="730" spans="7:15" x14ac:dyDescent="0.3">
      <c r="G730" s="6" t="s">
        <v>19</v>
      </c>
      <c r="H730" s="6" t="s">
        <v>62</v>
      </c>
      <c r="N730" s="6" t="s">
        <v>19</v>
      </c>
      <c r="O730" s="6" t="s">
        <v>62</v>
      </c>
    </row>
    <row r="731" spans="7:15" x14ac:dyDescent="0.3">
      <c r="G731" s="7" t="s">
        <v>19</v>
      </c>
      <c r="H731" s="7" t="s">
        <v>62</v>
      </c>
      <c r="N731" s="7" t="s">
        <v>19</v>
      </c>
      <c r="O731" s="7" t="s">
        <v>62</v>
      </c>
    </row>
    <row r="732" spans="7:15" x14ac:dyDescent="0.3">
      <c r="G732" s="6" t="s">
        <v>19</v>
      </c>
      <c r="H732" s="6" t="s">
        <v>62</v>
      </c>
      <c r="N732" s="6" t="s">
        <v>19</v>
      </c>
      <c r="O732" s="6" t="s">
        <v>62</v>
      </c>
    </row>
    <row r="733" spans="7:15" x14ac:dyDescent="0.3">
      <c r="G733" s="7" t="s">
        <v>19</v>
      </c>
      <c r="H733" s="7" t="s">
        <v>103</v>
      </c>
      <c r="N733" s="7" t="s">
        <v>19</v>
      </c>
      <c r="O733" s="7" t="s">
        <v>103</v>
      </c>
    </row>
    <row r="734" spans="7:15" x14ac:dyDescent="0.3">
      <c r="G734" s="6" t="s">
        <v>19</v>
      </c>
      <c r="H734" s="6" t="s">
        <v>103</v>
      </c>
      <c r="N734" s="6" t="s">
        <v>19</v>
      </c>
      <c r="O734" s="6" t="s">
        <v>103</v>
      </c>
    </row>
    <row r="735" spans="7:15" x14ac:dyDescent="0.3">
      <c r="G735" s="7" t="s">
        <v>19</v>
      </c>
      <c r="H735" s="7" t="s">
        <v>72</v>
      </c>
      <c r="N735" s="7" t="s">
        <v>19</v>
      </c>
      <c r="O735" s="7" t="s">
        <v>72</v>
      </c>
    </row>
    <row r="736" spans="7:15" x14ac:dyDescent="0.3">
      <c r="G736" s="6" t="s">
        <v>19</v>
      </c>
      <c r="H736" s="6" t="s">
        <v>74</v>
      </c>
      <c r="N736" s="6" t="s">
        <v>19</v>
      </c>
      <c r="O736" s="6" t="s">
        <v>74</v>
      </c>
    </row>
    <row r="737" spans="7:15" x14ac:dyDescent="0.3">
      <c r="G737" s="7" t="s">
        <v>19</v>
      </c>
      <c r="H737" s="7" t="s">
        <v>77</v>
      </c>
      <c r="N737" s="7" t="s">
        <v>19</v>
      </c>
      <c r="O737" s="7" t="s">
        <v>77</v>
      </c>
    </row>
    <row r="738" spans="7:15" x14ac:dyDescent="0.3">
      <c r="G738" s="6" t="s">
        <v>19</v>
      </c>
      <c r="H738" s="6" t="s">
        <v>77</v>
      </c>
      <c r="N738" s="6" t="s">
        <v>19</v>
      </c>
      <c r="O738" s="6" t="s">
        <v>77</v>
      </c>
    </row>
    <row r="739" spans="7:15" x14ac:dyDescent="0.3">
      <c r="G739" s="7" t="s">
        <v>19</v>
      </c>
      <c r="H739" s="7" t="s">
        <v>77</v>
      </c>
      <c r="N739" s="7" t="s">
        <v>19</v>
      </c>
      <c r="O739" s="7" t="s">
        <v>77</v>
      </c>
    </row>
    <row r="740" spans="7:15" x14ac:dyDescent="0.3">
      <c r="G740" s="6" t="s">
        <v>19</v>
      </c>
      <c r="H740" s="6" t="s">
        <v>608</v>
      </c>
      <c r="N740" s="6" t="s">
        <v>19</v>
      </c>
      <c r="O740" s="6" t="s">
        <v>608</v>
      </c>
    </row>
    <row r="741" spans="7:15" x14ac:dyDescent="0.3">
      <c r="G741" s="7" t="s">
        <v>19</v>
      </c>
      <c r="H741" s="7" t="s">
        <v>115</v>
      </c>
      <c r="N741" s="7" t="s">
        <v>19</v>
      </c>
      <c r="O741" s="7" t="s">
        <v>115</v>
      </c>
    </row>
    <row r="742" spans="7:15" x14ac:dyDescent="0.3">
      <c r="G742" s="6" t="s">
        <v>19</v>
      </c>
      <c r="H742" s="6" t="s">
        <v>587</v>
      </c>
      <c r="N742" s="6" t="s">
        <v>19</v>
      </c>
      <c r="O742" s="6" t="s">
        <v>587</v>
      </c>
    </row>
    <row r="743" spans="7:15" x14ac:dyDescent="0.3">
      <c r="G743" s="7" t="s">
        <v>19</v>
      </c>
      <c r="H743" s="7" t="s">
        <v>33</v>
      </c>
      <c r="N743" s="7" t="s">
        <v>19</v>
      </c>
      <c r="O743" s="7" t="s">
        <v>33</v>
      </c>
    </row>
    <row r="744" spans="7:15" x14ac:dyDescent="0.3">
      <c r="G744" s="6" t="s">
        <v>19</v>
      </c>
      <c r="H744" s="6" t="s">
        <v>33</v>
      </c>
      <c r="N744" s="6" t="s">
        <v>19</v>
      </c>
      <c r="O744" s="6" t="s">
        <v>33</v>
      </c>
    </row>
    <row r="745" spans="7:15" x14ac:dyDescent="0.3">
      <c r="G745" s="7" t="s">
        <v>19</v>
      </c>
      <c r="H745" s="7" t="s">
        <v>33</v>
      </c>
      <c r="N745" s="7" t="s">
        <v>19</v>
      </c>
      <c r="O745" s="7" t="s">
        <v>33</v>
      </c>
    </row>
    <row r="746" spans="7:15" x14ac:dyDescent="0.3">
      <c r="G746" s="6" t="s">
        <v>19</v>
      </c>
      <c r="H746" s="6" t="s">
        <v>33</v>
      </c>
      <c r="N746" s="6" t="s">
        <v>19</v>
      </c>
      <c r="O746" s="6" t="s">
        <v>33</v>
      </c>
    </row>
    <row r="747" spans="7:15" x14ac:dyDescent="0.3">
      <c r="G747" s="7" t="s">
        <v>19</v>
      </c>
      <c r="H747" s="7" t="s">
        <v>33</v>
      </c>
      <c r="N747" s="7" t="s">
        <v>19</v>
      </c>
      <c r="O747" s="7" t="s">
        <v>33</v>
      </c>
    </row>
    <row r="748" spans="7:15" x14ac:dyDescent="0.3">
      <c r="G748" s="6" t="s">
        <v>19</v>
      </c>
      <c r="H748" s="6" t="s">
        <v>33</v>
      </c>
      <c r="N748" s="6" t="s">
        <v>19</v>
      </c>
      <c r="O748" s="6" t="s">
        <v>33</v>
      </c>
    </row>
    <row r="749" spans="7:15" x14ac:dyDescent="0.3">
      <c r="G749" s="7" t="s">
        <v>19</v>
      </c>
      <c r="H749" s="7" t="s">
        <v>33</v>
      </c>
      <c r="N749" s="7" t="s">
        <v>19</v>
      </c>
      <c r="O749" s="7" t="s">
        <v>33</v>
      </c>
    </row>
    <row r="750" spans="7:15" x14ac:dyDescent="0.3">
      <c r="G750" s="6" t="s">
        <v>19</v>
      </c>
      <c r="H750" s="6" t="s">
        <v>33</v>
      </c>
      <c r="N750" s="6" t="s">
        <v>19</v>
      </c>
      <c r="O750" s="6" t="s">
        <v>33</v>
      </c>
    </row>
    <row r="751" spans="7:15" x14ac:dyDescent="0.3">
      <c r="G751" s="7" t="s">
        <v>19</v>
      </c>
      <c r="H751" s="7" t="s">
        <v>33</v>
      </c>
      <c r="N751" s="7" t="s">
        <v>19</v>
      </c>
      <c r="O751" s="7" t="s">
        <v>33</v>
      </c>
    </row>
    <row r="752" spans="7:15" x14ac:dyDescent="0.3">
      <c r="G752" s="6" t="s">
        <v>19</v>
      </c>
      <c r="H752" s="6" t="s">
        <v>33</v>
      </c>
      <c r="N752" s="6" t="s">
        <v>19</v>
      </c>
      <c r="O752" s="6" t="s">
        <v>33</v>
      </c>
    </row>
    <row r="753" spans="7:15" x14ac:dyDescent="0.3">
      <c r="G753" s="7" t="s">
        <v>19</v>
      </c>
      <c r="H753" s="7" t="s">
        <v>33</v>
      </c>
      <c r="N753" s="7" t="s">
        <v>19</v>
      </c>
      <c r="O753" s="7" t="s">
        <v>33</v>
      </c>
    </row>
    <row r="754" spans="7:15" x14ac:dyDescent="0.3">
      <c r="G754" s="6" t="s">
        <v>19</v>
      </c>
      <c r="H754" s="6" t="s">
        <v>33</v>
      </c>
      <c r="N754" s="6" t="s">
        <v>19</v>
      </c>
      <c r="O754" s="6" t="s">
        <v>33</v>
      </c>
    </row>
    <row r="755" spans="7:15" x14ac:dyDescent="0.3">
      <c r="G755" s="7" t="s">
        <v>19</v>
      </c>
      <c r="H755" s="7" t="s">
        <v>33</v>
      </c>
      <c r="N755" s="7" t="s">
        <v>19</v>
      </c>
      <c r="O755" s="7" t="s">
        <v>33</v>
      </c>
    </row>
    <row r="756" spans="7:15" x14ac:dyDescent="0.3">
      <c r="G756" s="6" t="s">
        <v>19</v>
      </c>
      <c r="H756" s="6" t="s">
        <v>55</v>
      </c>
      <c r="N756" s="6" t="s">
        <v>19</v>
      </c>
      <c r="O756" s="6" t="s">
        <v>55</v>
      </c>
    </row>
    <row r="757" spans="7:15" x14ac:dyDescent="0.3">
      <c r="G757" s="7" t="s">
        <v>19</v>
      </c>
      <c r="H757" s="7" t="s">
        <v>55</v>
      </c>
      <c r="N757" s="7" t="s">
        <v>19</v>
      </c>
      <c r="O757" s="7" t="s">
        <v>55</v>
      </c>
    </row>
    <row r="758" spans="7:15" x14ac:dyDescent="0.3">
      <c r="G758" s="6" t="s">
        <v>19</v>
      </c>
      <c r="H758" s="6" t="s">
        <v>55</v>
      </c>
      <c r="N758" s="6" t="s">
        <v>19</v>
      </c>
      <c r="O758" s="6" t="s">
        <v>55</v>
      </c>
    </row>
    <row r="759" spans="7:15" x14ac:dyDescent="0.3">
      <c r="G759" s="7" t="s">
        <v>19</v>
      </c>
      <c r="H759" s="7" t="s">
        <v>55</v>
      </c>
      <c r="N759" s="7" t="s">
        <v>19</v>
      </c>
      <c r="O759" s="7" t="s">
        <v>55</v>
      </c>
    </row>
    <row r="760" spans="7:15" x14ac:dyDescent="0.3">
      <c r="G760" s="6" t="s">
        <v>19</v>
      </c>
      <c r="H760" s="6" t="s">
        <v>59</v>
      </c>
      <c r="N760" s="6" t="s">
        <v>19</v>
      </c>
      <c r="O760" s="6" t="s">
        <v>59</v>
      </c>
    </row>
    <row r="761" spans="7:15" x14ac:dyDescent="0.3">
      <c r="G761" s="7" t="s">
        <v>19</v>
      </c>
      <c r="H761" s="7" t="s">
        <v>62</v>
      </c>
      <c r="N761" s="7" t="s">
        <v>19</v>
      </c>
      <c r="O761" s="7" t="s">
        <v>62</v>
      </c>
    </row>
    <row r="762" spans="7:15" x14ac:dyDescent="0.3">
      <c r="G762" s="6" t="s">
        <v>19</v>
      </c>
      <c r="H762" s="6" t="s">
        <v>62</v>
      </c>
      <c r="N762" s="6" t="s">
        <v>19</v>
      </c>
      <c r="O762" s="6" t="s">
        <v>62</v>
      </c>
    </row>
    <row r="763" spans="7:15" x14ac:dyDescent="0.3">
      <c r="G763" s="7" t="s">
        <v>19</v>
      </c>
      <c r="H763" s="7" t="s">
        <v>62</v>
      </c>
      <c r="N763" s="7" t="s">
        <v>19</v>
      </c>
      <c r="O763" s="7" t="s">
        <v>62</v>
      </c>
    </row>
    <row r="764" spans="7:15" x14ac:dyDescent="0.3">
      <c r="G764" s="6" t="s">
        <v>19</v>
      </c>
      <c r="H764" s="6" t="s">
        <v>62</v>
      </c>
      <c r="N764" s="6" t="s">
        <v>19</v>
      </c>
      <c r="O764" s="6" t="s">
        <v>62</v>
      </c>
    </row>
    <row r="765" spans="7:15" x14ac:dyDescent="0.3">
      <c r="G765" s="7" t="s">
        <v>19</v>
      </c>
      <c r="H765" s="7" t="s">
        <v>62</v>
      </c>
      <c r="N765" s="7" t="s">
        <v>19</v>
      </c>
      <c r="O765" s="7" t="s">
        <v>62</v>
      </c>
    </row>
    <row r="766" spans="7:15" x14ac:dyDescent="0.3">
      <c r="G766" s="6" t="s">
        <v>19</v>
      </c>
      <c r="H766" s="6" t="s">
        <v>62</v>
      </c>
      <c r="N766" s="6" t="s">
        <v>19</v>
      </c>
      <c r="O766" s="6" t="s">
        <v>62</v>
      </c>
    </row>
    <row r="767" spans="7:15" x14ac:dyDescent="0.3">
      <c r="G767" s="7" t="s">
        <v>19</v>
      </c>
      <c r="H767" s="7" t="s">
        <v>103</v>
      </c>
      <c r="N767" s="7" t="s">
        <v>19</v>
      </c>
      <c r="O767" s="7" t="s">
        <v>103</v>
      </c>
    </row>
    <row r="768" spans="7:15" x14ac:dyDescent="0.3">
      <c r="G768" s="6" t="s">
        <v>19</v>
      </c>
      <c r="H768" s="6" t="s">
        <v>72</v>
      </c>
      <c r="N768" s="6" t="s">
        <v>19</v>
      </c>
      <c r="O768" s="6" t="s">
        <v>72</v>
      </c>
    </row>
    <row r="769" spans="7:15" x14ac:dyDescent="0.3">
      <c r="G769" s="7" t="s">
        <v>19</v>
      </c>
      <c r="H769" s="7" t="s">
        <v>77</v>
      </c>
      <c r="N769" s="7" t="s">
        <v>19</v>
      </c>
      <c r="O769" s="7" t="s">
        <v>77</v>
      </c>
    </row>
    <row r="770" spans="7:15" x14ac:dyDescent="0.3">
      <c r="G770" s="6" t="s">
        <v>19</v>
      </c>
      <c r="H770" s="6" t="s">
        <v>77</v>
      </c>
      <c r="N770" s="6" t="s">
        <v>19</v>
      </c>
      <c r="O770" s="6" t="s">
        <v>77</v>
      </c>
    </row>
    <row r="771" spans="7:15" x14ac:dyDescent="0.3">
      <c r="G771" s="7" t="s">
        <v>19</v>
      </c>
      <c r="H771" s="7" t="s">
        <v>110</v>
      </c>
      <c r="N771" s="7" t="s">
        <v>19</v>
      </c>
      <c r="O771" s="7" t="s">
        <v>110</v>
      </c>
    </row>
    <row r="772" spans="7:15" x14ac:dyDescent="0.3">
      <c r="G772" s="6" t="s">
        <v>19</v>
      </c>
      <c r="H772" s="6" t="s">
        <v>292</v>
      </c>
      <c r="N772" s="6" t="s">
        <v>19</v>
      </c>
      <c r="O772" s="6" t="s">
        <v>292</v>
      </c>
    </row>
    <row r="773" spans="7:15" x14ac:dyDescent="0.3">
      <c r="G773" s="7" t="s">
        <v>19</v>
      </c>
      <c r="H773" s="7" t="s">
        <v>82</v>
      </c>
      <c r="N773" s="7" t="s">
        <v>19</v>
      </c>
      <c r="O773" s="7" t="s">
        <v>82</v>
      </c>
    </row>
    <row r="774" spans="7:15" x14ac:dyDescent="0.3">
      <c r="G774" s="6" t="s">
        <v>19</v>
      </c>
      <c r="H774" s="6" t="s">
        <v>115</v>
      </c>
      <c r="N774" s="6" t="s">
        <v>19</v>
      </c>
      <c r="O774" s="6" t="s">
        <v>115</v>
      </c>
    </row>
    <row r="775" spans="7:15" x14ac:dyDescent="0.3">
      <c r="G775" s="7" t="s">
        <v>19</v>
      </c>
      <c r="H775" s="7" t="s">
        <v>24</v>
      </c>
      <c r="N775" s="7" t="s">
        <v>19</v>
      </c>
      <c r="O775" s="7" t="s">
        <v>24</v>
      </c>
    </row>
    <row r="776" spans="7:15" x14ac:dyDescent="0.3">
      <c r="G776" s="6" t="s">
        <v>19</v>
      </c>
      <c r="H776" s="6" t="s">
        <v>147</v>
      </c>
      <c r="N776" s="6" t="s">
        <v>19</v>
      </c>
      <c r="O776" s="6" t="s">
        <v>147</v>
      </c>
    </row>
    <row r="777" spans="7:15" x14ac:dyDescent="0.3">
      <c r="G777" s="7" t="s">
        <v>19</v>
      </c>
      <c r="H777" s="7" t="s">
        <v>147</v>
      </c>
      <c r="N777" s="7" t="s">
        <v>19</v>
      </c>
      <c r="O777" s="7" t="s">
        <v>147</v>
      </c>
    </row>
    <row r="778" spans="7:15" x14ac:dyDescent="0.3">
      <c r="G778" s="6" t="s">
        <v>19</v>
      </c>
      <c r="H778" s="6" t="s">
        <v>334</v>
      </c>
      <c r="N778" s="6" t="s">
        <v>19</v>
      </c>
      <c r="O778" s="6" t="s">
        <v>334</v>
      </c>
    </row>
    <row r="779" spans="7:15" x14ac:dyDescent="0.3">
      <c r="G779" s="7" t="s">
        <v>19</v>
      </c>
      <c r="H779" s="7" t="s">
        <v>33</v>
      </c>
      <c r="N779" s="7" t="s">
        <v>19</v>
      </c>
      <c r="O779" s="7" t="s">
        <v>33</v>
      </c>
    </row>
    <row r="780" spans="7:15" x14ac:dyDescent="0.3">
      <c r="G780" s="6" t="s">
        <v>19</v>
      </c>
      <c r="H780" s="6" t="s">
        <v>33</v>
      </c>
      <c r="N780" s="6" t="s">
        <v>19</v>
      </c>
      <c r="O780" s="6" t="s">
        <v>33</v>
      </c>
    </row>
    <row r="781" spans="7:15" x14ac:dyDescent="0.3">
      <c r="G781" s="7" t="s">
        <v>19</v>
      </c>
      <c r="H781" s="7" t="s">
        <v>33</v>
      </c>
      <c r="N781" s="7" t="s">
        <v>19</v>
      </c>
      <c r="O781" s="7" t="s">
        <v>33</v>
      </c>
    </row>
    <row r="782" spans="7:15" x14ac:dyDescent="0.3">
      <c r="G782" s="6" t="s">
        <v>19</v>
      </c>
      <c r="H782" s="6" t="s">
        <v>33</v>
      </c>
      <c r="N782" s="6" t="s">
        <v>19</v>
      </c>
      <c r="O782" s="6" t="s">
        <v>33</v>
      </c>
    </row>
    <row r="783" spans="7:15" x14ac:dyDescent="0.3">
      <c r="G783" s="7" t="s">
        <v>19</v>
      </c>
      <c r="H783" s="7" t="s">
        <v>33</v>
      </c>
      <c r="N783" s="7" t="s">
        <v>19</v>
      </c>
      <c r="O783" s="7" t="s">
        <v>33</v>
      </c>
    </row>
    <row r="784" spans="7:15" x14ac:dyDescent="0.3">
      <c r="G784" s="6" t="s">
        <v>19</v>
      </c>
      <c r="H784" s="6" t="s">
        <v>33</v>
      </c>
      <c r="N784" s="6" t="s">
        <v>19</v>
      </c>
      <c r="O784" s="6" t="s">
        <v>33</v>
      </c>
    </row>
    <row r="785" spans="7:15" x14ac:dyDescent="0.3">
      <c r="G785" s="7" t="s">
        <v>19</v>
      </c>
      <c r="H785" s="7" t="s">
        <v>33</v>
      </c>
      <c r="N785" s="7" t="s">
        <v>19</v>
      </c>
      <c r="O785" s="7" t="s">
        <v>33</v>
      </c>
    </row>
    <row r="786" spans="7:15" x14ac:dyDescent="0.3">
      <c r="G786" s="6" t="s">
        <v>19</v>
      </c>
      <c r="H786" s="6" t="s">
        <v>33</v>
      </c>
      <c r="N786" s="6" t="s">
        <v>19</v>
      </c>
      <c r="O786" s="6" t="s">
        <v>33</v>
      </c>
    </row>
    <row r="787" spans="7:15" x14ac:dyDescent="0.3">
      <c r="G787" s="7" t="s">
        <v>19</v>
      </c>
      <c r="H787" s="7" t="s">
        <v>33</v>
      </c>
      <c r="N787" s="7" t="s">
        <v>19</v>
      </c>
      <c r="O787" s="7" t="s">
        <v>33</v>
      </c>
    </row>
    <row r="788" spans="7:15" x14ac:dyDescent="0.3">
      <c r="G788" s="6" t="s">
        <v>19</v>
      </c>
      <c r="H788" s="6" t="s">
        <v>186</v>
      </c>
      <c r="N788" s="6" t="s">
        <v>19</v>
      </c>
      <c r="O788" s="6" t="s">
        <v>186</v>
      </c>
    </row>
    <row r="789" spans="7:15" x14ac:dyDescent="0.3">
      <c r="G789" s="7" t="s">
        <v>19</v>
      </c>
      <c r="H789" s="7" t="s">
        <v>802</v>
      </c>
      <c r="N789" s="7" t="s">
        <v>19</v>
      </c>
      <c r="O789" s="7" t="s">
        <v>802</v>
      </c>
    </row>
    <row r="790" spans="7:15" x14ac:dyDescent="0.3">
      <c r="G790" s="6" t="s">
        <v>19</v>
      </c>
      <c r="H790" s="6" t="s">
        <v>188</v>
      </c>
      <c r="N790" s="6" t="s">
        <v>19</v>
      </c>
      <c r="O790" s="6" t="s">
        <v>188</v>
      </c>
    </row>
    <row r="791" spans="7:15" x14ac:dyDescent="0.3">
      <c r="G791" s="7" t="s">
        <v>19</v>
      </c>
      <c r="H791" s="7" t="s">
        <v>55</v>
      </c>
      <c r="N791" s="7" t="s">
        <v>19</v>
      </c>
      <c r="O791" s="7" t="s">
        <v>55</v>
      </c>
    </row>
    <row r="792" spans="7:15" x14ac:dyDescent="0.3">
      <c r="G792" s="6" t="s">
        <v>19</v>
      </c>
      <c r="H792" s="6" t="s">
        <v>55</v>
      </c>
      <c r="N792" s="6" t="s">
        <v>19</v>
      </c>
      <c r="O792" s="6" t="s">
        <v>55</v>
      </c>
    </row>
    <row r="793" spans="7:15" x14ac:dyDescent="0.3">
      <c r="G793" s="7" t="s">
        <v>19</v>
      </c>
      <c r="H793" s="7" t="s">
        <v>55</v>
      </c>
      <c r="N793" s="7" t="s">
        <v>19</v>
      </c>
      <c r="O793" s="7" t="s">
        <v>55</v>
      </c>
    </row>
    <row r="794" spans="7:15" x14ac:dyDescent="0.3">
      <c r="G794" s="6" t="s">
        <v>19</v>
      </c>
      <c r="H794" s="6" t="s">
        <v>55</v>
      </c>
      <c r="N794" s="6" t="s">
        <v>19</v>
      </c>
      <c r="O794" s="6" t="s">
        <v>55</v>
      </c>
    </row>
    <row r="795" spans="7:15" x14ac:dyDescent="0.3">
      <c r="G795" s="7" t="s">
        <v>19</v>
      </c>
      <c r="H795" s="7" t="s">
        <v>59</v>
      </c>
      <c r="N795" s="7" t="s">
        <v>19</v>
      </c>
      <c r="O795" s="7" t="s">
        <v>59</v>
      </c>
    </row>
    <row r="796" spans="7:15" x14ac:dyDescent="0.3">
      <c r="G796" s="6" t="s">
        <v>19</v>
      </c>
      <c r="H796" s="6" t="s">
        <v>62</v>
      </c>
      <c r="N796" s="6" t="s">
        <v>19</v>
      </c>
      <c r="O796" s="6" t="s">
        <v>62</v>
      </c>
    </row>
    <row r="797" spans="7:15" x14ac:dyDescent="0.3">
      <c r="G797" s="7" t="s">
        <v>19</v>
      </c>
      <c r="H797" s="7" t="s">
        <v>62</v>
      </c>
      <c r="N797" s="7" t="s">
        <v>19</v>
      </c>
      <c r="O797" s="7" t="s">
        <v>62</v>
      </c>
    </row>
    <row r="798" spans="7:15" x14ac:dyDescent="0.3">
      <c r="G798" s="6" t="s">
        <v>19</v>
      </c>
      <c r="H798" s="6" t="s">
        <v>62</v>
      </c>
      <c r="N798" s="6" t="s">
        <v>19</v>
      </c>
      <c r="O798" s="6" t="s">
        <v>62</v>
      </c>
    </row>
    <row r="799" spans="7:15" x14ac:dyDescent="0.3">
      <c r="G799" s="7" t="s">
        <v>19</v>
      </c>
      <c r="H799" s="7" t="s">
        <v>62</v>
      </c>
      <c r="N799" s="7" t="s">
        <v>19</v>
      </c>
      <c r="O799" s="7" t="s">
        <v>62</v>
      </c>
    </row>
    <row r="800" spans="7:15" x14ac:dyDescent="0.3">
      <c r="G800" s="6" t="s">
        <v>19</v>
      </c>
      <c r="H800" s="6" t="s">
        <v>62</v>
      </c>
      <c r="N800" s="6" t="s">
        <v>19</v>
      </c>
      <c r="O800" s="6" t="s">
        <v>62</v>
      </c>
    </row>
    <row r="801" spans="7:15" x14ac:dyDescent="0.3">
      <c r="G801" s="7" t="s">
        <v>19</v>
      </c>
      <c r="H801" s="7" t="s">
        <v>103</v>
      </c>
      <c r="N801" s="7" t="s">
        <v>19</v>
      </c>
      <c r="O801" s="7" t="s">
        <v>103</v>
      </c>
    </row>
    <row r="802" spans="7:15" x14ac:dyDescent="0.3">
      <c r="G802" s="6" t="s">
        <v>19</v>
      </c>
      <c r="H802" s="6" t="s">
        <v>201</v>
      </c>
      <c r="N802" s="6" t="s">
        <v>19</v>
      </c>
      <c r="O802" s="6" t="s">
        <v>201</v>
      </c>
    </row>
    <row r="803" spans="7:15" x14ac:dyDescent="0.3">
      <c r="G803" s="7" t="s">
        <v>19</v>
      </c>
      <c r="H803" s="7" t="s">
        <v>429</v>
      </c>
      <c r="N803" s="7" t="s">
        <v>19</v>
      </c>
      <c r="O803" s="7" t="s">
        <v>429</v>
      </c>
    </row>
    <row r="804" spans="7:15" x14ac:dyDescent="0.3">
      <c r="G804" s="6" t="s">
        <v>19</v>
      </c>
      <c r="H804" s="6" t="s">
        <v>74</v>
      </c>
      <c r="N804" s="6" t="s">
        <v>19</v>
      </c>
      <c r="O804" s="6" t="s">
        <v>74</v>
      </c>
    </row>
    <row r="805" spans="7:15" x14ac:dyDescent="0.3">
      <c r="G805" s="7" t="s">
        <v>19</v>
      </c>
      <c r="H805" s="7" t="s">
        <v>77</v>
      </c>
      <c r="N805" s="7" t="s">
        <v>19</v>
      </c>
      <c r="O805" s="7" t="s">
        <v>77</v>
      </c>
    </row>
    <row r="806" spans="7:15" x14ac:dyDescent="0.3">
      <c r="G806" s="6" t="s">
        <v>19</v>
      </c>
      <c r="H806" s="6" t="s">
        <v>82</v>
      </c>
      <c r="N806" s="6" t="s">
        <v>19</v>
      </c>
      <c r="O806" s="6" t="s">
        <v>82</v>
      </c>
    </row>
    <row r="807" spans="7:15" x14ac:dyDescent="0.3">
      <c r="G807" s="7" t="s">
        <v>19</v>
      </c>
      <c r="H807" s="7" t="s">
        <v>115</v>
      </c>
      <c r="N807" s="7" t="s">
        <v>19</v>
      </c>
      <c r="O807" s="7" t="s">
        <v>115</v>
      </c>
    </row>
    <row r="808" spans="7:15" x14ac:dyDescent="0.3">
      <c r="G808" s="6" t="s">
        <v>19</v>
      </c>
      <c r="H808" s="6" t="s">
        <v>587</v>
      </c>
      <c r="N808" s="6" t="s">
        <v>19</v>
      </c>
      <c r="O808" s="6" t="s">
        <v>587</v>
      </c>
    </row>
    <row r="809" spans="7:15" x14ac:dyDescent="0.3">
      <c r="G809" s="7" t="s">
        <v>19</v>
      </c>
      <c r="H809" s="7" t="s">
        <v>33</v>
      </c>
      <c r="N809" s="7" t="s">
        <v>19</v>
      </c>
      <c r="O809" s="7" t="s">
        <v>33</v>
      </c>
    </row>
    <row r="810" spans="7:15" x14ac:dyDescent="0.3">
      <c r="G810" s="6" t="s">
        <v>19</v>
      </c>
      <c r="H810" s="6" t="s">
        <v>33</v>
      </c>
      <c r="N810" s="6" t="s">
        <v>19</v>
      </c>
      <c r="O810" s="6" t="s">
        <v>33</v>
      </c>
    </row>
    <row r="811" spans="7:15" x14ac:dyDescent="0.3">
      <c r="G811" s="7" t="s">
        <v>19</v>
      </c>
      <c r="H811" s="7" t="s">
        <v>33</v>
      </c>
      <c r="N811" s="7" t="s">
        <v>19</v>
      </c>
      <c r="O811" s="7" t="s">
        <v>33</v>
      </c>
    </row>
    <row r="812" spans="7:15" x14ac:dyDescent="0.3">
      <c r="G812" s="6" t="s">
        <v>19</v>
      </c>
      <c r="H812" s="6" t="s">
        <v>33</v>
      </c>
      <c r="N812" s="6" t="s">
        <v>19</v>
      </c>
      <c r="O812" s="6" t="s">
        <v>33</v>
      </c>
    </row>
    <row r="813" spans="7:15" x14ac:dyDescent="0.3">
      <c r="G813" s="7" t="s">
        <v>19</v>
      </c>
      <c r="H813" s="7" t="s">
        <v>33</v>
      </c>
      <c r="N813" s="7" t="s">
        <v>19</v>
      </c>
      <c r="O813" s="7" t="s">
        <v>33</v>
      </c>
    </row>
    <row r="814" spans="7:15" x14ac:dyDescent="0.3">
      <c r="G814" s="6" t="s">
        <v>19</v>
      </c>
      <c r="H814" s="6" t="s">
        <v>158</v>
      </c>
      <c r="N814" s="6" t="s">
        <v>19</v>
      </c>
      <c r="O814" s="6" t="s">
        <v>158</v>
      </c>
    </row>
    <row r="815" spans="7:15" x14ac:dyDescent="0.3">
      <c r="G815" s="7" t="s">
        <v>19</v>
      </c>
      <c r="H815" s="7" t="s">
        <v>55</v>
      </c>
      <c r="N815" s="7" t="s">
        <v>19</v>
      </c>
      <c r="O815" s="7" t="s">
        <v>55</v>
      </c>
    </row>
    <row r="816" spans="7:15" x14ac:dyDescent="0.3">
      <c r="G816" s="6" t="s">
        <v>19</v>
      </c>
      <c r="H816" s="6" t="s">
        <v>55</v>
      </c>
      <c r="N816" s="6" t="s">
        <v>19</v>
      </c>
      <c r="O816" s="6" t="s">
        <v>55</v>
      </c>
    </row>
    <row r="817" spans="7:15" x14ac:dyDescent="0.3">
      <c r="G817" s="7" t="s">
        <v>19</v>
      </c>
      <c r="H817" s="7" t="s">
        <v>55</v>
      </c>
      <c r="N817" s="7" t="s">
        <v>19</v>
      </c>
      <c r="O817" s="7" t="s">
        <v>55</v>
      </c>
    </row>
    <row r="818" spans="7:15" x14ac:dyDescent="0.3">
      <c r="G818" s="6" t="s">
        <v>19</v>
      </c>
      <c r="H818" s="6" t="s">
        <v>55</v>
      </c>
      <c r="N818" s="6" t="s">
        <v>19</v>
      </c>
      <c r="O818" s="6" t="s">
        <v>55</v>
      </c>
    </row>
    <row r="819" spans="7:15" x14ac:dyDescent="0.3">
      <c r="G819" s="7" t="s">
        <v>19</v>
      </c>
      <c r="H819" s="7" t="s">
        <v>62</v>
      </c>
      <c r="N819" s="7" t="s">
        <v>19</v>
      </c>
      <c r="O819" s="7" t="s">
        <v>62</v>
      </c>
    </row>
    <row r="820" spans="7:15" x14ac:dyDescent="0.3">
      <c r="G820" s="6" t="s">
        <v>19</v>
      </c>
      <c r="H820" s="6" t="s">
        <v>62</v>
      </c>
      <c r="N820" s="6" t="s">
        <v>19</v>
      </c>
      <c r="O820" s="6" t="s">
        <v>62</v>
      </c>
    </row>
    <row r="821" spans="7:15" x14ac:dyDescent="0.3">
      <c r="G821" s="7" t="s">
        <v>19</v>
      </c>
      <c r="H821" s="7" t="s">
        <v>62</v>
      </c>
      <c r="N821" s="7" t="s">
        <v>19</v>
      </c>
      <c r="O821" s="7" t="s">
        <v>62</v>
      </c>
    </row>
    <row r="822" spans="7:15" x14ac:dyDescent="0.3">
      <c r="G822" s="6" t="s">
        <v>19</v>
      </c>
      <c r="H822" s="6" t="s">
        <v>77</v>
      </c>
      <c r="N822" s="6" t="s">
        <v>19</v>
      </c>
      <c r="O822" s="6" t="s">
        <v>77</v>
      </c>
    </row>
    <row r="823" spans="7:15" x14ac:dyDescent="0.3">
      <c r="G823" s="7" t="s">
        <v>19</v>
      </c>
      <c r="H823" s="7" t="s">
        <v>110</v>
      </c>
      <c r="N823" s="7" t="s">
        <v>19</v>
      </c>
      <c r="O823" s="7" t="s">
        <v>110</v>
      </c>
    </row>
    <row r="824" spans="7:15" x14ac:dyDescent="0.3">
      <c r="G824" s="6" t="s">
        <v>19</v>
      </c>
      <c r="H824" s="6" t="s">
        <v>115</v>
      </c>
      <c r="N824" s="6" t="s">
        <v>19</v>
      </c>
      <c r="O824" s="6" t="s">
        <v>115</v>
      </c>
    </row>
    <row r="825" spans="7:15" x14ac:dyDescent="0.3">
      <c r="G825" s="7" t="s">
        <v>19</v>
      </c>
      <c r="H825" s="7" t="s">
        <v>115</v>
      </c>
      <c r="N825" s="7" t="s">
        <v>19</v>
      </c>
      <c r="O825" s="7" t="s">
        <v>115</v>
      </c>
    </row>
    <row r="826" spans="7:15" x14ac:dyDescent="0.3">
      <c r="G826" s="6" t="s">
        <v>19</v>
      </c>
      <c r="H826" s="6" t="s">
        <v>115</v>
      </c>
      <c r="N826" s="6" t="s">
        <v>19</v>
      </c>
      <c r="O826" s="6" t="s">
        <v>115</v>
      </c>
    </row>
    <row r="827" spans="7:15" x14ac:dyDescent="0.3">
      <c r="G827" s="7" t="s">
        <v>19</v>
      </c>
      <c r="H827" s="7" t="s">
        <v>24</v>
      </c>
      <c r="N827" s="7" t="s">
        <v>19</v>
      </c>
      <c r="O827" s="7" t="s">
        <v>24</v>
      </c>
    </row>
    <row r="828" spans="7:15" x14ac:dyDescent="0.3">
      <c r="G828" s="6" t="s">
        <v>19</v>
      </c>
      <c r="H828" s="6" t="s">
        <v>147</v>
      </c>
      <c r="N828" s="6" t="s">
        <v>19</v>
      </c>
      <c r="O828" s="6" t="s">
        <v>147</v>
      </c>
    </row>
    <row r="829" spans="7:15" x14ac:dyDescent="0.3">
      <c r="G829" s="7" t="s">
        <v>19</v>
      </c>
      <c r="H829" s="7" t="s">
        <v>147</v>
      </c>
      <c r="N829" s="7" t="s">
        <v>19</v>
      </c>
      <c r="O829" s="7" t="s">
        <v>147</v>
      </c>
    </row>
    <row r="830" spans="7:15" x14ac:dyDescent="0.3">
      <c r="G830" s="6" t="s">
        <v>19</v>
      </c>
      <c r="H830" s="6" t="s">
        <v>33</v>
      </c>
      <c r="N830" s="6" t="s">
        <v>19</v>
      </c>
      <c r="O830" s="6" t="s">
        <v>33</v>
      </c>
    </row>
    <row r="831" spans="7:15" x14ac:dyDescent="0.3">
      <c r="G831" s="7" t="s">
        <v>19</v>
      </c>
      <c r="H831" s="7" t="s">
        <v>33</v>
      </c>
      <c r="N831" s="7" t="s">
        <v>19</v>
      </c>
      <c r="O831" s="7" t="s">
        <v>33</v>
      </c>
    </row>
    <row r="832" spans="7:15" x14ac:dyDescent="0.3">
      <c r="G832" s="6" t="s">
        <v>19</v>
      </c>
      <c r="H832" s="6" t="s">
        <v>33</v>
      </c>
      <c r="N832" s="6" t="s">
        <v>19</v>
      </c>
      <c r="O832" s="6" t="s">
        <v>33</v>
      </c>
    </row>
    <row r="833" spans="7:15" x14ac:dyDescent="0.3">
      <c r="G833" s="7" t="s">
        <v>19</v>
      </c>
      <c r="H833" s="7" t="s">
        <v>33</v>
      </c>
      <c r="N833" s="7" t="s">
        <v>19</v>
      </c>
      <c r="O833" s="7" t="s">
        <v>33</v>
      </c>
    </row>
    <row r="834" spans="7:15" x14ac:dyDescent="0.3">
      <c r="G834" s="6" t="s">
        <v>19</v>
      </c>
      <c r="H834" s="6" t="s">
        <v>33</v>
      </c>
      <c r="N834" s="6" t="s">
        <v>19</v>
      </c>
      <c r="O834" s="6" t="s">
        <v>33</v>
      </c>
    </row>
    <row r="835" spans="7:15" x14ac:dyDescent="0.3">
      <c r="G835" s="7" t="s">
        <v>19</v>
      </c>
      <c r="H835" s="7" t="s">
        <v>33</v>
      </c>
      <c r="N835" s="7" t="s">
        <v>19</v>
      </c>
      <c r="O835" s="7" t="s">
        <v>33</v>
      </c>
    </row>
    <row r="836" spans="7:15" x14ac:dyDescent="0.3">
      <c r="G836" s="6" t="s">
        <v>19</v>
      </c>
      <c r="H836" s="6" t="s">
        <v>59</v>
      </c>
      <c r="N836" s="6" t="s">
        <v>19</v>
      </c>
      <c r="O836" s="6" t="s">
        <v>59</v>
      </c>
    </row>
    <row r="837" spans="7:15" x14ac:dyDescent="0.3">
      <c r="G837" s="7" t="s">
        <v>19</v>
      </c>
      <c r="H837" s="7" t="s">
        <v>108</v>
      </c>
      <c r="N837" s="7" t="s">
        <v>19</v>
      </c>
      <c r="O837" s="7" t="s">
        <v>108</v>
      </c>
    </row>
    <row r="838" spans="7:15" x14ac:dyDescent="0.3">
      <c r="G838" s="6" t="s">
        <v>19</v>
      </c>
      <c r="H838" s="6" t="s">
        <v>110</v>
      </c>
      <c r="N838" s="6" t="s">
        <v>19</v>
      </c>
      <c r="O838" s="6" t="s">
        <v>110</v>
      </c>
    </row>
    <row r="839" spans="7:15" x14ac:dyDescent="0.3">
      <c r="G839" s="7" t="s">
        <v>19</v>
      </c>
      <c r="H839" s="7" t="s">
        <v>82</v>
      </c>
      <c r="N839" s="7" t="s">
        <v>19</v>
      </c>
      <c r="O839" s="7" t="s">
        <v>82</v>
      </c>
    </row>
    <row r="840" spans="7:15" x14ac:dyDescent="0.3">
      <c r="G840" s="6" t="s">
        <v>19</v>
      </c>
      <c r="H840" s="6" t="s">
        <v>115</v>
      </c>
      <c r="N840" s="6" t="s">
        <v>19</v>
      </c>
      <c r="O840" s="6" t="s">
        <v>115</v>
      </c>
    </row>
    <row r="841" spans="7:15" x14ac:dyDescent="0.3">
      <c r="G841" s="7" t="s">
        <v>19</v>
      </c>
      <c r="H841" s="7" t="s">
        <v>28</v>
      </c>
      <c r="N841" s="7" t="s">
        <v>19</v>
      </c>
      <c r="O841" s="7" t="s">
        <v>28</v>
      </c>
    </row>
    <row r="842" spans="7:15" x14ac:dyDescent="0.3">
      <c r="G842" s="6" t="s">
        <v>19</v>
      </c>
      <c r="H842" s="6" t="s">
        <v>28</v>
      </c>
      <c r="N842" s="6" t="s">
        <v>19</v>
      </c>
      <c r="O842" s="6" t="s">
        <v>28</v>
      </c>
    </row>
    <row r="843" spans="7:15" x14ac:dyDescent="0.3">
      <c r="G843" s="7" t="s">
        <v>19</v>
      </c>
      <c r="H843" s="7" t="s">
        <v>147</v>
      </c>
      <c r="N843" s="7" t="s">
        <v>19</v>
      </c>
      <c r="O843" s="7" t="s">
        <v>147</v>
      </c>
    </row>
    <row r="844" spans="7:15" x14ac:dyDescent="0.3">
      <c r="G844" s="6" t="s">
        <v>19</v>
      </c>
      <c r="H844" s="6" t="s">
        <v>33</v>
      </c>
      <c r="N844" s="6" t="s">
        <v>19</v>
      </c>
      <c r="O844" s="6" t="s">
        <v>33</v>
      </c>
    </row>
    <row r="845" spans="7:15" x14ac:dyDescent="0.3">
      <c r="G845" s="7" t="s">
        <v>19</v>
      </c>
      <c r="H845" s="7" t="s">
        <v>33</v>
      </c>
      <c r="N845" s="7" t="s">
        <v>19</v>
      </c>
      <c r="O845" s="7" t="s">
        <v>33</v>
      </c>
    </row>
    <row r="846" spans="7:15" x14ac:dyDescent="0.3">
      <c r="G846" s="6" t="s">
        <v>19</v>
      </c>
      <c r="H846" s="6" t="s">
        <v>33</v>
      </c>
      <c r="N846" s="6" t="s">
        <v>19</v>
      </c>
      <c r="O846" s="6" t="s">
        <v>33</v>
      </c>
    </row>
    <row r="847" spans="7:15" x14ac:dyDescent="0.3">
      <c r="G847" s="7" t="s">
        <v>19</v>
      </c>
      <c r="H847" s="7" t="s">
        <v>33</v>
      </c>
      <c r="N847" s="7" t="s">
        <v>19</v>
      </c>
      <c r="O847" s="7" t="s">
        <v>33</v>
      </c>
    </row>
    <row r="848" spans="7:15" x14ac:dyDescent="0.3">
      <c r="G848" s="6" t="s">
        <v>19</v>
      </c>
      <c r="H848" s="6" t="s">
        <v>33</v>
      </c>
      <c r="N848" s="6" t="s">
        <v>19</v>
      </c>
      <c r="O848" s="6" t="s">
        <v>33</v>
      </c>
    </row>
    <row r="849" spans="7:15" x14ac:dyDescent="0.3">
      <c r="G849" s="7" t="s">
        <v>19</v>
      </c>
      <c r="H849" s="7" t="s">
        <v>33</v>
      </c>
      <c r="N849" s="7" t="s">
        <v>19</v>
      </c>
      <c r="O849" s="7" t="s">
        <v>33</v>
      </c>
    </row>
    <row r="850" spans="7:15" x14ac:dyDescent="0.3">
      <c r="G850" s="6" t="s">
        <v>19</v>
      </c>
      <c r="H850" s="6" t="s">
        <v>33</v>
      </c>
      <c r="N850" s="6" t="s">
        <v>19</v>
      </c>
      <c r="O850" s="6" t="s">
        <v>33</v>
      </c>
    </row>
    <row r="851" spans="7:15" x14ac:dyDescent="0.3">
      <c r="G851" s="7" t="s">
        <v>19</v>
      </c>
      <c r="H851" s="7" t="s">
        <v>33</v>
      </c>
      <c r="N851" s="7" t="s">
        <v>19</v>
      </c>
      <c r="O851" s="7" t="s">
        <v>33</v>
      </c>
    </row>
    <row r="852" spans="7:15" x14ac:dyDescent="0.3">
      <c r="G852" s="6" t="s">
        <v>19</v>
      </c>
      <c r="H852" s="6" t="s">
        <v>33</v>
      </c>
      <c r="N852" s="6" t="s">
        <v>19</v>
      </c>
      <c r="O852" s="6" t="s">
        <v>33</v>
      </c>
    </row>
    <row r="853" spans="7:15" x14ac:dyDescent="0.3">
      <c r="G853" s="7" t="s">
        <v>19</v>
      </c>
      <c r="H853" s="7" t="s">
        <v>33</v>
      </c>
      <c r="N853" s="7" t="s">
        <v>19</v>
      </c>
      <c r="O853" s="7" t="s">
        <v>33</v>
      </c>
    </row>
    <row r="854" spans="7:15" x14ac:dyDescent="0.3">
      <c r="G854" s="6" t="s">
        <v>19</v>
      </c>
      <c r="H854" s="6" t="s">
        <v>33</v>
      </c>
      <c r="N854" s="6" t="s">
        <v>19</v>
      </c>
      <c r="O854" s="6" t="s">
        <v>33</v>
      </c>
    </row>
    <row r="855" spans="7:15" x14ac:dyDescent="0.3">
      <c r="G855" s="7" t="s">
        <v>19</v>
      </c>
      <c r="H855" s="7" t="s">
        <v>364</v>
      </c>
      <c r="N855" s="7" t="s">
        <v>19</v>
      </c>
      <c r="O855" s="7" t="s">
        <v>364</v>
      </c>
    </row>
    <row r="856" spans="7:15" x14ac:dyDescent="0.3">
      <c r="G856" s="6" t="s">
        <v>19</v>
      </c>
      <c r="H856" s="6" t="s">
        <v>98</v>
      </c>
      <c r="N856" s="6" t="s">
        <v>19</v>
      </c>
      <c r="O856" s="6" t="s">
        <v>98</v>
      </c>
    </row>
    <row r="857" spans="7:15" x14ac:dyDescent="0.3">
      <c r="G857" s="7" t="s">
        <v>19</v>
      </c>
      <c r="H857" s="7" t="s">
        <v>188</v>
      </c>
      <c r="N857" s="7" t="s">
        <v>19</v>
      </c>
      <c r="O857" s="7" t="s">
        <v>188</v>
      </c>
    </row>
    <row r="858" spans="7:15" x14ac:dyDescent="0.3">
      <c r="G858" s="6" t="s">
        <v>19</v>
      </c>
      <c r="H858" s="6" t="s">
        <v>188</v>
      </c>
      <c r="N858" s="6" t="s">
        <v>19</v>
      </c>
      <c r="O858" s="6" t="s">
        <v>188</v>
      </c>
    </row>
    <row r="859" spans="7:15" x14ac:dyDescent="0.3">
      <c r="G859" s="7" t="s">
        <v>19</v>
      </c>
      <c r="H859" s="7" t="s">
        <v>52</v>
      </c>
      <c r="N859" s="7" t="s">
        <v>19</v>
      </c>
      <c r="O859" s="7" t="s">
        <v>52</v>
      </c>
    </row>
    <row r="860" spans="7:15" x14ac:dyDescent="0.3">
      <c r="G860" s="6" t="s">
        <v>19</v>
      </c>
      <c r="H860" s="6" t="s">
        <v>55</v>
      </c>
      <c r="N860" s="6" t="s">
        <v>19</v>
      </c>
      <c r="O860" s="6" t="s">
        <v>55</v>
      </c>
    </row>
    <row r="861" spans="7:15" x14ac:dyDescent="0.3">
      <c r="G861" s="7" t="s">
        <v>19</v>
      </c>
      <c r="H861" s="7" t="s">
        <v>55</v>
      </c>
      <c r="N861" s="7" t="s">
        <v>19</v>
      </c>
      <c r="O861" s="7" t="s">
        <v>55</v>
      </c>
    </row>
    <row r="862" spans="7:15" x14ac:dyDescent="0.3">
      <c r="G862" s="6" t="s">
        <v>19</v>
      </c>
      <c r="H862" s="6" t="s">
        <v>55</v>
      </c>
      <c r="N862" s="6" t="s">
        <v>19</v>
      </c>
      <c r="O862" s="6" t="s">
        <v>55</v>
      </c>
    </row>
    <row r="863" spans="7:15" x14ac:dyDescent="0.3">
      <c r="G863" s="7" t="s">
        <v>19</v>
      </c>
      <c r="H863" s="7" t="s">
        <v>59</v>
      </c>
      <c r="N863" s="7" t="s">
        <v>19</v>
      </c>
      <c r="O863" s="7" t="s">
        <v>59</v>
      </c>
    </row>
    <row r="864" spans="7:15" x14ac:dyDescent="0.3">
      <c r="G864" s="6" t="s">
        <v>19</v>
      </c>
      <c r="H864" s="6" t="s">
        <v>62</v>
      </c>
      <c r="N864" s="6" t="s">
        <v>19</v>
      </c>
      <c r="O864" s="6" t="s">
        <v>62</v>
      </c>
    </row>
    <row r="865" spans="7:15" x14ac:dyDescent="0.3">
      <c r="G865" s="7" t="s">
        <v>19</v>
      </c>
      <c r="H865" s="7" t="s">
        <v>62</v>
      </c>
      <c r="N865" s="7" t="s">
        <v>19</v>
      </c>
      <c r="O865" s="7" t="s">
        <v>62</v>
      </c>
    </row>
    <row r="866" spans="7:15" x14ac:dyDescent="0.3">
      <c r="G866" s="6" t="s">
        <v>19</v>
      </c>
      <c r="H866" s="6" t="s">
        <v>62</v>
      </c>
      <c r="N866" s="6" t="s">
        <v>19</v>
      </c>
      <c r="O866" s="6" t="s">
        <v>62</v>
      </c>
    </row>
    <row r="867" spans="7:15" x14ac:dyDescent="0.3">
      <c r="G867" s="7" t="s">
        <v>19</v>
      </c>
      <c r="H867" s="7" t="s">
        <v>62</v>
      </c>
      <c r="N867" s="7" t="s">
        <v>19</v>
      </c>
      <c r="O867" s="7" t="s">
        <v>62</v>
      </c>
    </row>
    <row r="868" spans="7:15" x14ac:dyDescent="0.3">
      <c r="G868" s="6" t="s">
        <v>19</v>
      </c>
      <c r="H868" s="6" t="s">
        <v>62</v>
      </c>
      <c r="N868" s="6" t="s">
        <v>19</v>
      </c>
      <c r="O868" s="6" t="s">
        <v>62</v>
      </c>
    </row>
    <row r="869" spans="7:15" x14ac:dyDescent="0.3">
      <c r="G869" s="7" t="s">
        <v>19</v>
      </c>
      <c r="H869" s="7" t="s">
        <v>62</v>
      </c>
      <c r="N869" s="7" t="s">
        <v>19</v>
      </c>
      <c r="O869" s="7" t="s">
        <v>62</v>
      </c>
    </row>
    <row r="870" spans="7:15" x14ac:dyDescent="0.3">
      <c r="G870" s="6" t="s">
        <v>19</v>
      </c>
      <c r="H870" s="6" t="s">
        <v>62</v>
      </c>
      <c r="N870" s="6" t="s">
        <v>19</v>
      </c>
      <c r="O870" s="6" t="s">
        <v>62</v>
      </c>
    </row>
    <row r="871" spans="7:15" x14ac:dyDescent="0.3">
      <c r="G871" s="7" t="s">
        <v>19</v>
      </c>
      <c r="H871" s="7" t="s">
        <v>62</v>
      </c>
      <c r="N871" s="7" t="s">
        <v>19</v>
      </c>
      <c r="O871" s="7" t="s">
        <v>62</v>
      </c>
    </row>
    <row r="872" spans="7:15" x14ac:dyDescent="0.3">
      <c r="G872" s="6" t="s">
        <v>19</v>
      </c>
      <c r="H872" s="6" t="s">
        <v>103</v>
      </c>
      <c r="N872" s="6" t="s">
        <v>19</v>
      </c>
      <c r="O872" s="6" t="s">
        <v>103</v>
      </c>
    </row>
    <row r="873" spans="7:15" x14ac:dyDescent="0.3">
      <c r="G873" s="7" t="s">
        <v>19</v>
      </c>
      <c r="H873" s="7" t="s">
        <v>103</v>
      </c>
      <c r="N873" s="7" t="s">
        <v>19</v>
      </c>
      <c r="O873" s="7" t="s">
        <v>103</v>
      </c>
    </row>
    <row r="874" spans="7:15" x14ac:dyDescent="0.3">
      <c r="G874" s="6" t="s">
        <v>19</v>
      </c>
      <c r="H874" s="6" t="s">
        <v>77</v>
      </c>
      <c r="N874" s="6" t="s">
        <v>19</v>
      </c>
      <c r="O874" s="6" t="s">
        <v>77</v>
      </c>
    </row>
    <row r="875" spans="7:15" x14ac:dyDescent="0.3">
      <c r="G875" s="7" t="s">
        <v>19</v>
      </c>
      <c r="H875" s="7" t="s">
        <v>77</v>
      </c>
      <c r="N875" s="7" t="s">
        <v>19</v>
      </c>
      <c r="O875" s="7" t="s">
        <v>77</v>
      </c>
    </row>
    <row r="876" spans="7:15" x14ac:dyDescent="0.3">
      <c r="G876" s="6" t="s">
        <v>19</v>
      </c>
      <c r="H876" s="6" t="s">
        <v>77</v>
      </c>
      <c r="N876" s="6" t="s">
        <v>19</v>
      </c>
      <c r="O876" s="6" t="s">
        <v>77</v>
      </c>
    </row>
    <row r="877" spans="7:15" x14ac:dyDescent="0.3">
      <c r="G877" s="7" t="s">
        <v>19</v>
      </c>
      <c r="H877" s="7" t="s">
        <v>82</v>
      </c>
      <c r="N877" s="7" t="s">
        <v>19</v>
      </c>
      <c r="O877" s="7" t="s">
        <v>82</v>
      </c>
    </row>
    <row r="878" spans="7:15" x14ac:dyDescent="0.3">
      <c r="G878" s="6" t="s">
        <v>19</v>
      </c>
      <c r="H878" s="6" t="s">
        <v>24</v>
      </c>
      <c r="N878" s="6" t="s">
        <v>19</v>
      </c>
      <c r="O878" s="6" t="s">
        <v>24</v>
      </c>
    </row>
    <row r="879" spans="7:15" x14ac:dyDescent="0.3">
      <c r="G879" s="7" t="s">
        <v>19</v>
      </c>
      <c r="H879" s="7" t="s">
        <v>33</v>
      </c>
      <c r="N879" s="7" t="s">
        <v>19</v>
      </c>
      <c r="O879" s="7" t="s">
        <v>33</v>
      </c>
    </row>
    <row r="880" spans="7:15" x14ac:dyDescent="0.3">
      <c r="G880" s="6" t="s">
        <v>19</v>
      </c>
      <c r="H880" s="6" t="s">
        <v>33</v>
      </c>
      <c r="N880" s="6" t="s">
        <v>19</v>
      </c>
      <c r="O880" s="6" t="s">
        <v>33</v>
      </c>
    </row>
    <row r="881" spans="7:15" x14ac:dyDescent="0.3">
      <c r="G881" s="7" t="s">
        <v>19</v>
      </c>
      <c r="H881" s="7" t="s">
        <v>33</v>
      </c>
      <c r="N881" s="7" t="s">
        <v>19</v>
      </c>
      <c r="O881" s="7" t="s">
        <v>33</v>
      </c>
    </row>
    <row r="882" spans="7:15" x14ac:dyDescent="0.3">
      <c r="G882" s="6" t="s">
        <v>19</v>
      </c>
      <c r="H882" s="6" t="s">
        <v>545</v>
      </c>
      <c r="N882" s="6" t="s">
        <v>19</v>
      </c>
      <c r="O882" s="6" t="s">
        <v>545</v>
      </c>
    </row>
    <row r="883" spans="7:15" x14ac:dyDescent="0.3">
      <c r="G883" s="7" t="s">
        <v>19</v>
      </c>
      <c r="H883" s="7" t="s">
        <v>55</v>
      </c>
      <c r="N883" s="7" t="s">
        <v>19</v>
      </c>
      <c r="O883" s="7" t="s">
        <v>55</v>
      </c>
    </row>
    <row r="884" spans="7:15" x14ac:dyDescent="0.3">
      <c r="G884" s="6" t="s">
        <v>19</v>
      </c>
      <c r="H884" s="6" t="s">
        <v>55</v>
      </c>
      <c r="N884" s="6" t="s">
        <v>19</v>
      </c>
      <c r="O884" s="6" t="s">
        <v>55</v>
      </c>
    </row>
    <row r="885" spans="7:15" x14ac:dyDescent="0.3">
      <c r="G885" s="7" t="s">
        <v>19</v>
      </c>
      <c r="H885" s="7" t="s">
        <v>62</v>
      </c>
      <c r="N885" s="7" t="s">
        <v>19</v>
      </c>
      <c r="O885" s="7" t="s">
        <v>62</v>
      </c>
    </row>
    <row r="886" spans="7:15" x14ac:dyDescent="0.3">
      <c r="G886" s="6" t="s">
        <v>19</v>
      </c>
      <c r="H886" s="6" t="s">
        <v>62</v>
      </c>
      <c r="N886" s="6" t="s">
        <v>19</v>
      </c>
      <c r="O886" s="6" t="s">
        <v>62</v>
      </c>
    </row>
    <row r="887" spans="7:15" x14ac:dyDescent="0.3">
      <c r="G887" s="7" t="s">
        <v>19</v>
      </c>
      <c r="H887" s="7" t="s">
        <v>62</v>
      </c>
      <c r="N887" s="7" t="s">
        <v>19</v>
      </c>
      <c r="O887" s="7" t="s">
        <v>62</v>
      </c>
    </row>
    <row r="888" spans="7:15" x14ac:dyDescent="0.3">
      <c r="G888" s="6" t="s">
        <v>19</v>
      </c>
      <c r="H888" s="6" t="s">
        <v>429</v>
      </c>
      <c r="N888" s="6" t="s">
        <v>19</v>
      </c>
      <c r="O888" s="6" t="s">
        <v>429</v>
      </c>
    </row>
    <row r="889" spans="7:15" x14ac:dyDescent="0.3">
      <c r="G889" s="7" t="s">
        <v>19</v>
      </c>
      <c r="H889" s="7" t="s">
        <v>108</v>
      </c>
      <c r="N889" s="7" t="s">
        <v>19</v>
      </c>
      <c r="O889" s="7" t="s">
        <v>108</v>
      </c>
    </row>
    <row r="890" spans="7:15" x14ac:dyDescent="0.3">
      <c r="G890" s="6" t="s">
        <v>19</v>
      </c>
      <c r="H890" s="6" t="s">
        <v>113</v>
      </c>
      <c r="N890" s="6" t="s">
        <v>19</v>
      </c>
      <c r="O890" s="6" t="s">
        <v>113</v>
      </c>
    </row>
    <row r="891" spans="7:15" x14ac:dyDescent="0.3">
      <c r="G891" s="7" t="s">
        <v>19</v>
      </c>
      <c r="H891" s="7" t="s">
        <v>115</v>
      </c>
      <c r="N891" s="7" t="s">
        <v>19</v>
      </c>
      <c r="O891" s="7" t="s">
        <v>115</v>
      </c>
    </row>
    <row r="892" spans="7:15" x14ac:dyDescent="0.3">
      <c r="G892" s="6" t="s">
        <v>19</v>
      </c>
      <c r="H892" s="6" t="s">
        <v>115</v>
      </c>
      <c r="N892" s="6" t="s">
        <v>19</v>
      </c>
      <c r="O892" s="6" t="s">
        <v>115</v>
      </c>
    </row>
    <row r="893" spans="7:15" x14ac:dyDescent="0.3">
      <c r="G893" s="7" t="s">
        <v>19</v>
      </c>
      <c r="H893" s="7" t="s">
        <v>115</v>
      </c>
      <c r="N893" s="7" t="s">
        <v>19</v>
      </c>
      <c r="O893" s="7" t="s">
        <v>115</v>
      </c>
    </row>
    <row r="894" spans="7:15" x14ac:dyDescent="0.3">
      <c r="G894" s="6" t="s">
        <v>19</v>
      </c>
      <c r="H894" s="6" t="s">
        <v>115</v>
      </c>
      <c r="N894" s="6" t="s">
        <v>19</v>
      </c>
      <c r="O894" s="6" t="s">
        <v>115</v>
      </c>
    </row>
    <row r="895" spans="7:15" x14ac:dyDescent="0.3">
      <c r="G895" s="7" t="s">
        <v>19</v>
      </c>
      <c r="H895" s="7" t="s">
        <v>115</v>
      </c>
      <c r="N895" s="7" t="s">
        <v>19</v>
      </c>
      <c r="O895" s="7" t="s">
        <v>115</v>
      </c>
    </row>
    <row r="896" spans="7:15" x14ac:dyDescent="0.3">
      <c r="G896" s="6" t="s">
        <v>19</v>
      </c>
      <c r="H896" s="6" t="s">
        <v>24</v>
      </c>
      <c r="N896" s="6" t="s">
        <v>19</v>
      </c>
      <c r="O896" s="6" t="s">
        <v>24</v>
      </c>
    </row>
    <row r="897" spans="7:15" x14ac:dyDescent="0.3">
      <c r="G897" s="7" t="s">
        <v>19</v>
      </c>
      <c r="H897" s="7" t="s">
        <v>28</v>
      </c>
      <c r="N897" s="7" t="s">
        <v>19</v>
      </c>
      <c r="O897" s="7" t="s">
        <v>28</v>
      </c>
    </row>
    <row r="898" spans="7:15" x14ac:dyDescent="0.3">
      <c r="G898" s="6" t="s">
        <v>19</v>
      </c>
      <c r="H898" s="6" t="s">
        <v>28</v>
      </c>
      <c r="N898" s="6" t="s">
        <v>19</v>
      </c>
      <c r="O898" s="6" t="s">
        <v>28</v>
      </c>
    </row>
    <row r="899" spans="7:15" x14ac:dyDescent="0.3">
      <c r="G899" s="7" t="s">
        <v>19</v>
      </c>
      <c r="H899" s="7" t="s">
        <v>147</v>
      </c>
      <c r="N899" s="7" t="s">
        <v>19</v>
      </c>
      <c r="O899" s="7" t="s">
        <v>147</v>
      </c>
    </row>
    <row r="900" spans="7:15" x14ac:dyDescent="0.3">
      <c r="G900" s="6" t="s">
        <v>19</v>
      </c>
      <c r="H900" s="6" t="s">
        <v>33</v>
      </c>
      <c r="N900" s="6" t="s">
        <v>19</v>
      </c>
      <c r="O900" s="6" t="s">
        <v>33</v>
      </c>
    </row>
    <row r="901" spans="7:15" x14ac:dyDescent="0.3">
      <c r="G901" s="7" t="s">
        <v>19</v>
      </c>
      <c r="H901" s="7" t="s">
        <v>33</v>
      </c>
      <c r="N901" s="7" t="s">
        <v>19</v>
      </c>
      <c r="O901" s="7" t="s">
        <v>33</v>
      </c>
    </row>
    <row r="902" spans="7:15" x14ac:dyDescent="0.3">
      <c r="G902" s="6" t="s">
        <v>19</v>
      </c>
      <c r="H902" s="6" t="s">
        <v>33</v>
      </c>
      <c r="N902" s="6" t="s">
        <v>19</v>
      </c>
      <c r="O902" s="6" t="s">
        <v>33</v>
      </c>
    </row>
    <row r="903" spans="7:15" x14ac:dyDescent="0.3">
      <c r="G903" s="7" t="s">
        <v>19</v>
      </c>
      <c r="H903" s="7" t="s">
        <v>33</v>
      </c>
      <c r="N903" s="7" t="s">
        <v>19</v>
      </c>
      <c r="O903" s="7" t="s">
        <v>33</v>
      </c>
    </row>
    <row r="904" spans="7:15" x14ac:dyDescent="0.3">
      <c r="G904" s="6" t="s">
        <v>19</v>
      </c>
      <c r="H904" s="6" t="s">
        <v>33</v>
      </c>
      <c r="N904" s="6" t="s">
        <v>19</v>
      </c>
      <c r="O904" s="6" t="s">
        <v>33</v>
      </c>
    </row>
    <row r="905" spans="7:15" x14ac:dyDescent="0.3">
      <c r="G905" s="7" t="s">
        <v>19</v>
      </c>
      <c r="H905" s="7" t="s">
        <v>33</v>
      </c>
      <c r="N905" s="7" t="s">
        <v>19</v>
      </c>
      <c r="O905" s="7" t="s">
        <v>33</v>
      </c>
    </row>
    <row r="906" spans="7:15" x14ac:dyDescent="0.3">
      <c r="G906" s="6" t="s">
        <v>19</v>
      </c>
      <c r="H906" s="6" t="s">
        <v>33</v>
      </c>
      <c r="N906" s="6" t="s">
        <v>19</v>
      </c>
      <c r="O906" s="6" t="s">
        <v>33</v>
      </c>
    </row>
    <row r="907" spans="7:15" x14ac:dyDescent="0.3">
      <c r="G907" s="7" t="s">
        <v>19</v>
      </c>
      <c r="H907" s="7" t="s">
        <v>33</v>
      </c>
      <c r="N907" s="7" t="s">
        <v>19</v>
      </c>
      <c r="O907" s="7" t="s">
        <v>33</v>
      </c>
    </row>
    <row r="908" spans="7:15" x14ac:dyDescent="0.3">
      <c r="G908" s="6" t="s">
        <v>19</v>
      </c>
      <c r="H908" s="6" t="s">
        <v>33</v>
      </c>
      <c r="N908" s="6" t="s">
        <v>19</v>
      </c>
      <c r="O908" s="6" t="s">
        <v>33</v>
      </c>
    </row>
    <row r="909" spans="7:15" x14ac:dyDescent="0.3">
      <c r="G909" s="7" t="s">
        <v>19</v>
      </c>
      <c r="H909" s="7" t="s">
        <v>33</v>
      </c>
      <c r="N909" s="7" t="s">
        <v>19</v>
      </c>
      <c r="O909" s="7" t="s">
        <v>33</v>
      </c>
    </row>
    <row r="910" spans="7:15" x14ac:dyDescent="0.3">
      <c r="G910" s="6" t="s">
        <v>19</v>
      </c>
      <c r="H910" s="6" t="s">
        <v>33</v>
      </c>
      <c r="N910" s="6" t="s">
        <v>19</v>
      </c>
      <c r="O910" s="6" t="s">
        <v>33</v>
      </c>
    </row>
    <row r="911" spans="7:15" x14ac:dyDescent="0.3">
      <c r="G911" s="7" t="s">
        <v>19</v>
      </c>
      <c r="H911" s="7" t="s">
        <v>49</v>
      </c>
      <c r="N911" s="7" t="s">
        <v>19</v>
      </c>
      <c r="O911" s="7" t="s">
        <v>49</v>
      </c>
    </row>
    <row r="912" spans="7:15" x14ac:dyDescent="0.3">
      <c r="G912" s="6" t="s">
        <v>19</v>
      </c>
      <c r="H912" s="6" t="s">
        <v>158</v>
      </c>
      <c r="N912" s="6" t="s">
        <v>19</v>
      </c>
      <c r="O912" s="6" t="s">
        <v>158</v>
      </c>
    </row>
    <row r="913" spans="7:15" x14ac:dyDescent="0.3">
      <c r="G913" s="7" t="s">
        <v>19</v>
      </c>
      <c r="H913" s="7" t="s">
        <v>55</v>
      </c>
      <c r="N913" s="7" t="s">
        <v>19</v>
      </c>
      <c r="O913" s="7" t="s">
        <v>55</v>
      </c>
    </row>
    <row r="914" spans="7:15" x14ac:dyDescent="0.3">
      <c r="G914" s="6" t="s">
        <v>19</v>
      </c>
      <c r="H914" s="6" t="s">
        <v>55</v>
      </c>
      <c r="N914" s="6" t="s">
        <v>19</v>
      </c>
      <c r="O914" s="6" t="s">
        <v>55</v>
      </c>
    </row>
    <row r="915" spans="7:15" x14ac:dyDescent="0.3">
      <c r="G915" s="7" t="s">
        <v>19</v>
      </c>
      <c r="H915" s="7" t="s">
        <v>59</v>
      </c>
      <c r="N915" s="7" t="s">
        <v>19</v>
      </c>
      <c r="O915" s="7" t="s">
        <v>59</v>
      </c>
    </row>
    <row r="916" spans="7:15" x14ac:dyDescent="0.3">
      <c r="G916" s="6" t="s">
        <v>19</v>
      </c>
      <c r="H916" s="6" t="s">
        <v>62</v>
      </c>
      <c r="N916" s="6" t="s">
        <v>19</v>
      </c>
      <c r="O916" s="6" t="s">
        <v>62</v>
      </c>
    </row>
    <row r="917" spans="7:15" x14ac:dyDescent="0.3">
      <c r="G917" s="7" t="s">
        <v>19</v>
      </c>
      <c r="H917" s="7" t="s">
        <v>62</v>
      </c>
      <c r="N917" s="7" t="s">
        <v>19</v>
      </c>
      <c r="O917" s="7" t="s">
        <v>62</v>
      </c>
    </row>
    <row r="918" spans="7:15" x14ac:dyDescent="0.3">
      <c r="G918" s="6" t="s">
        <v>19</v>
      </c>
      <c r="H918" s="6" t="s">
        <v>62</v>
      </c>
      <c r="N918" s="6" t="s">
        <v>19</v>
      </c>
      <c r="O918" s="6" t="s">
        <v>62</v>
      </c>
    </row>
    <row r="919" spans="7:15" x14ac:dyDescent="0.3">
      <c r="G919" s="7" t="s">
        <v>19</v>
      </c>
      <c r="H919" s="7" t="s">
        <v>62</v>
      </c>
      <c r="N919" s="7" t="s">
        <v>19</v>
      </c>
      <c r="O919" s="7" t="s">
        <v>62</v>
      </c>
    </row>
    <row r="920" spans="7:15" x14ac:dyDescent="0.3">
      <c r="G920" s="6" t="s">
        <v>19</v>
      </c>
      <c r="H920" s="6" t="s">
        <v>62</v>
      </c>
      <c r="N920" s="6" t="s">
        <v>19</v>
      </c>
      <c r="O920" s="6" t="s">
        <v>62</v>
      </c>
    </row>
    <row r="921" spans="7:15" x14ac:dyDescent="0.3">
      <c r="G921" s="7" t="s">
        <v>19</v>
      </c>
      <c r="H921" s="7" t="s">
        <v>103</v>
      </c>
      <c r="N921" s="7" t="s">
        <v>19</v>
      </c>
      <c r="O921" s="7" t="s">
        <v>103</v>
      </c>
    </row>
    <row r="922" spans="7:15" x14ac:dyDescent="0.3">
      <c r="G922" s="6" t="s">
        <v>19</v>
      </c>
      <c r="H922" s="6" t="s">
        <v>103</v>
      </c>
      <c r="N922" s="6" t="s">
        <v>19</v>
      </c>
      <c r="O922" s="6" t="s">
        <v>103</v>
      </c>
    </row>
    <row r="923" spans="7:15" x14ac:dyDescent="0.3">
      <c r="G923" s="7" t="s">
        <v>19</v>
      </c>
      <c r="H923" s="7" t="s">
        <v>72</v>
      </c>
      <c r="N923" s="7" t="s">
        <v>19</v>
      </c>
      <c r="O923" s="7" t="s">
        <v>72</v>
      </c>
    </row>
    <row r="924" spans="7:15" x14ac:dyDescent="0.3">
      <c r="G924" s="6" t="s">
        <v>19</v>
      </c>
      <c r="H924" s="6" t="s">
        <v>77</v>
      </c>
      <c r="N924" s="6" t="s">
        <v>19</v>
      </c>
      <c r="O924" s="6" t="s">
        <v>77</v>
      </c>
    </row>
    <row r="925" spans="7:15" x14ac:dyDescent="0.3">
      <c r="G925" s="7" t="s">
        <v>19</v>
      </c>
      <c r="H925" s="7" t="s">
        <v>108</v>
      </c>
      <c r="N925" s="7" t="s">
        <v>19</v>
      </c>
      <c r="O925" s="7" t="s">
        <v>108</v>
      </c>
    </row>
    <row r="926" spans="7:15" x14ac:dyDescent="0.3">
      <c r="G926" s="6" t="s">
        <v>19</v>
      </c>
      <c r="H926" s="6" t="s">
        <v>110</v>
      </c>
      <c r="N926" s="6" t="s">
        <v>19</v>
      </c>
      <c r="O926" s="6" t="s">
        <v>110</v>
      </c>
    </row>
    <row r="927" spans="7:15" x14ac:dyDescent="0.3">
      <c r="G927" s="7" t="s">
        <v>19</v>
      </c>
      <c r="H927" s="7" t="s">
        <v>115</v>
      </c>
      <c r="N927" s="7" t="s">
        <v>19</v>
      </c>
      <c r="O927" s="7" t="s">
        <v>115</v>
      </c>
    </row>
    <row r="928" spans="7:15" x14ac:dyDescent="0.3">
      <c r="G928" s="6" t="s">
        <v>19</v>
      </c>
      <c r="H928" s="6" t="s">
        <v>115</v>
      </c>
      <c r="N928" s="6" t="s">
        <v>19</v>
      </c>
      <c r="O928" s="6" t="s">
        <v>115</v>
      </c>
    </row>
    <row r="929" spans="7:15" x14ac:dyDescent="0.3">
      <c r="G929" s="7" t="s">
        <v>19</v>
      </c>
      <c r="H929" s="7" t="s">
        <v>115</v>
      </c>
      <c r="N929" s="7" t="s">
        <v>19</v>
      </c>
      <c r="O929" s="7" t="s">
        <v>115</v>
      </c>
    </row>
    <row r="930" spans="7:15" x14ac:dyDescent="0.3">
      <c r="G930" s="6" t="s">
        <v>19</v>
      </c>
      <c r="H930" s="6" t="s">
        <v>115</v>
      </c>
      <c r="N930" s="6" t="s">
        <v>19</v>
      </c>
      <c r="O930" s="6" t="s">
        <v>115</v>
      </c>
    </row>
    <row r="931" spans="7:15" x14ac:dyDescent="0.3">
      <c r="G931" s="7" t="s">
        <v>19</v>
      </c>
      <c r="H931" s="7" t="s">
        <v>24</v>
      </c>
      <c r="N931" s="7" t="s">
        <v>19</v>
      </c>
      <c r="O931" s="7" t="s">
        <v>24</v>
      </c>
    </row>
    <row r="932" spans="7:15" x14ac:dyDescent="0.3">
      <c r="G932" s="6" t="s">
        <v>19</v>
      </c>
      <c r="H932" s="6" t="s">
        <v>24</v>
      </c>
      <c r="N932" s="6" t="s">
        <v>19</v>
      </c>
      <c r="O932" s="6" t="s">
        <v>24</v>
      </c>
    </row>
    <row r="933" spans="7:15" x14ac:dyDescent="0.3">
      <c r="G933" s="7" t="s">
        <v>19</v>
      </c>
      <c r="H933" s="7" t="s">
        <v>437</v>
      </c>
      <c r="N933" s="7" t="s">
        <v>19</v>
      </c>
      <c r="O933" s="7" t="s">
        <v>437</v>
      </c>
    </row>
    <row r="934" spans="7:15" x14ac:dyDescent="0.3">
      <c r="G934" s="6" t="s">
        <v>19</v>
      </c>
      <c r="H934" s="6" t="s">
        <v>587</v>
      </c>
      <c r="N934" s="6" t="s">
        <v>19</v>
      </c>
      <c r="O934" s="6" t="s">
        <v>587</v>
      </c>
    </row>
    <row r="935" spans="7:15" x14ac:dyDescent="0.3">
      <c r="G935" s="7" t="s">
        <v>19</v>
      </c>
      <c r="H935" s="7" t="s">
        <v>949</v>
      </c>
      <c r="N935" s="7" t="s">
        <v>19</v>
      </c>
      <c r="O935" s="7" t="s">
        <v>949</v>
      </c>
    </row>
    <row r="936" spans="7:15" x14ac:dyDescent="0.3">
      <c r="G936" s="6" t="s">
        <v>19</v>
      </c>
      <c r="H936" s="6" t="s">
        <v>33</v>
      </c>
      <c r="N936" s="6" t="s">
        <v>19</v>
      </c>
      <c r="O936" s="6" t="s">
        <v>33</v>
      </c>
    </row>
    <row r="937" spans="7:15" x14ac:dyDescent="0.3">
      <c r="G937" s="7" t="s">
        <v>19</v>
      </c>
      <c r="H937" s="7" t="s">
        <v>33</v>
      </c>
      <c r="N937" s="7" t="s">
        <v>19</v>
      </c>
      <c r="O937" s="7" t="s">
        <v>33</v>
      </c>
    </row>
    <row r="938" spans="7:15" x14ac:dyDescent="0.3">
      <c r="G938" s="6" t="s">
        <v>19</v>
      </c>
      <c r="H938" s="6" t="s">
        <v>33</v>
      </c>
      <c r="N938" s="6" t="s">
        <v>19</v>
      </c>
      <c r="O938" s="6" t="s">
        <v>33</v>
      </c>
    </row>
    <row r="939" spans="7:15" x14ac:dyDescent="0.3">
      <c r="G939" s="7" t="s">
        <v>19</v>
      </c>
      <c r="H939" s="7" t="s">
        <v>33</v>
      </c>
      <c r="N939" s="7" t="s">
        <v>19</v>
      </c>
      <c r="O939" s="7" t="s">
        <v>33</v>
      </c>
    </row>
    <row r="940" spans="7:15" x14ac:dyDescent="0.3">
      <c r="G940" s="6" t="s">
        <v>19</v>
      </c>
      <c r="H940" s="6" t="s">
        <v>33</v>
      </c>
      <c r="N940" s="6" t="s">
        <v>19</v>
      </c>
      <c r="O940" s="6" t="s">
        <v>33</v>
      </c>
    </row>
    <row r="941" spans="7:15" x14ac:dyDescent="0.3">
      <c r="G941" s="7" t="s">
        <v>19</v>
      </c>
      <c r="H941" s="7" t="s">
        <v>33</v>
      </c>
      <c r="N941" s="7" t="s">
        <v>19</v>
      </c>
      <c r="O941" s="7" t="s">
        <v>33</v>
      </c>
    </row>
    <row r="942" spans="7:15" x14ac:dyDescent="0.3">
      <c r="G942" s="6" t="s">
        <v>19</v>
      </c>
      <c r="H942" s="6" t="s">
        <v>33</v>
      </c>
      <c r="N942" s="6" t="s">
        <v>19</v>
      </c>
      <c r="O942" s="6" t="s">
        <v>33</v>
      </c>
    </row>
    <row r="943" spans="7:15" x14ac:dyDescent="0.3">
      <c r="G943" s="7" t="s">
        <v>19</v>
      </c>
      <c r="H943" s="7" t="s">
        <v>98</v>
      </c>
      <c r="N943" s="7" t="s">
        <v>19</v>
      </c>
      <c r="O943" s="7" t="s">
        <v>98</v>
      </c>
    </row>
    <row r="944" spans="7:15" x14ac:dyDescent="0.3">
      <c r="G944" s="6" t="s">
        <v>19</v>
      </c>
      <c r="H944" s="6" t="s">
        <v>55</v>
      </c>
      <c r="N944" s="6" t="s">
        <v>19</v>
      </c>
      <c r="O944" s="6" t="s">
        <v>55</v>
      </c>
    </row>
    <row r="945" spans="7:15" x14ac:dyDescent="0.3">
      <c r="G945" s="7" t="s">
        <v>19</v>
      </c>
      <c r="H945" s="7" t="s">
        <v>62</v>
      </c>
      <c r="N945" s="7" t="s">
        <v>19</v>
      </c>
      <c r="O945" s="7" t="s">
        <v>62</v>
      </c>
    </row>
    <row r="946" spans="7:15" x14ac:dyDescent="0.3">
      <c r="G946" s="6" t="s">
        <v>19</v>
      </c>
      <c r="H946" s="6" t="s">
        <v>62</v>
      </c>
      <c r="N946" s="6" t="s">
        <v>19</v>
      </c>
      <c r="O946" s="6" t="s">
        <v>62</v>
      </c>
    </row>
    <row r="947" spans="7:15" x14ac:dyDescent="0.3">
      <c r="G947" s="7" t="s">
        <v>19</v>
      </c>
      <c r="H947" s="7" t="s">
        <v>62</v>
      </c>
      <c r="N947" s="7" t="s">
        <v>19</v>
      </c>
      <c r="O947" s="7" t="s">
        <v>62</v>
      </c>
    </row>
    <row r="948" spans="7:15" x14ac:dyDescent="0.3">
      <c r="G948" s="6" t="s">
        <v>19</v>
      </c>
      <c r="H948" s="6" t="s">
        <v>103</v>
      </c>
      <c r="N948" s="6" t="s">
        <v>19</v>
      </c>
      <c r="O948" s="6" t="s">
        <v>103</v>
      </c>
    </row>
    <row r="949" spans="7:15" x14ac:dyDescent="0.3">
      <c r="G949" s="7" t="s">
        <v>19</v>
      </c>
      <c r="H949" s="7" t="s">
        <v>377</v>
      </c>
      <c r="N949" s="7" t="s">
        <v>19</v>
      </c>
      <c r="O949" s="7" t="s">
        <v>377</v>
      </c>
    </row>
    <row r="950" spans="7:15" x14ac:dyDescent="0.3">
      <c r="G950" s="6" t="s">
        <v>19</v>
      </c>
      <c r="H950" s="6" t="s">
        <v>108</v>
      </c>
      <c r="N950" s="6" t="s">
        <v>19</v>
      </c>
      <c r="O950" s="6" t="s">
        <v>108</v>
      </c>
    </row>
    <row r="951" spans="7:15" x14ac:dyDescent="0.3">
      <c r="G951" s="7" t="s">
        <v>19</v>
      </c>
      <c r="H951" s="7" t="s">
        <v>110</v>
      </c>
      <c r="N951" s="7" t="s">
        <v>19</v>
      </c>
      <c r="O951" s="7" t="s">
        <v>110</v>
      </c>
    </row>
    <row r="952" spans="7:15" x14ac:dyDescent="0.3">
      <c r="G952" s="6" t="s">
        <v>19</v>
      </c>
      <c r="H952" s="6" t="s">
        <v>967</v>
      </c>
      <c r="N952" s="6" t="s">
        <v>19</v>
      </c>
      <c r="O952" s="6" t="s">
        <v>967</v>
      </c>
    </row>
    <row r="953" spans="7:15" x14ac:dyDescent="0.3">
      <c r="G953" s="7" t="s">
        <v>19</v>
      </c>
      <c r="H953" s="7" t="s">
        <v>24</v>
      </c>
      <c r="N953" s="7" t="s">
        <v>19</v>
      </c>
      <c r="O953" s="7" t="s">
        <v>24</v>
      </c>
    </row>
    <row r="954" spans="7:15" x14ac:dyDescent="0.3">
      <c r="G954" s="6" t="s">
        <v>19</v>
      </c>
      <c r="H954" s="6" t="s">
        <v>28</v>
      </c>
      <c r="N954" s="6" t="s">
        <v>19</v>
      </c>
      <c r="O954" s="6" t="s">
        <v>28</v>
      </c>
    </row>
    <row r="955" spans="7:15" x14ac:dyDescent="0.3">
      <c r="G955" s="7" t="s">
        <v>19</v>
      </c>
      <c r="H955" s="7" t="s">
        <v>28</v>
      </c>
      <c r="N955" s="7" t="s">
        <v>19</v>
      </c>
      <c r="O955" s="7" t="s">
        <v>28</v>
      </c>
    </row>
    <row r="956" spans="7:15" x14ac:dyDescent="0.3">
      <c r="G956" s="6" t="s">
        <v>19</v>
      </c>
      <c r="H956" s="6" t="s">
        <v>33</v>
      </c>
      <c r="N956" s="6" t="s">
        <v>19</v>
      </c>
      <c r="O956" s="6" t="s">
        <v>33</v>
      </c>
    </row>
    <row r="957" spans="7:15" x14ac:dyDescent="0.3">
      <c r="G957" s="7" t="s">
        <v>19</v>
      </c>
      <c r="H957" s="7" t="s">
        <v>33</v>
      </c>
      <c r="N957" s="7" t="s">
        <v>19</v>
      </c>
      <c r="O957" s="7" t="s">
        <v>33</v>
      </c>
    </row>
    <row r="958" spans="7:15" x14ac:dyDescent="0.3">
      <c r="G958" s="6" t="s">
        <v>19</v>
      </c>
      <c r="H958" s="6" t="s">
        <v>33</v>
      </c>
      <c r="N958" s="6" t="s">
        <v>19</v>
      </c>
      <c r="O958" s="6" t="s">
        <v>33</v>
      </c>
    </row>
    <row r="959" spans="7:15" x14ac:dyDescent="0.3">
      <c r="G959" s="7" t="s">
        <v>19</v>
      </c>
      <c r="H959" s="7" t="s">
        <v>33</v>
      </c>
      <c r="N959" s="7" t="s">
        <v>19</v>
      </c>
      <c r="O959" s="7" t="s">
        <v>33</v>
      </c>
    </row>
    <row r="960" spans="7:15" x14ac:dyDescent="0.3">
      <c r="G960" s="6" t="s">
        <v>19</v>
      </c>
      <c r="H960" s="6" t="s">
        <v>33</v>
      </c>
      <c r="N960" s="6" t="s">
        <v>19</v>
      </c>
      <c r="O960" s="6" t="s">
        <v>33</v>
      </c>
    </row>
    <row r="961" spans="7:15" x14ac:dyDescent="0.3">
      <c r="G961" s="7" t="s">
        <v>19</v>
      </c>
      <c r="H961" s="7" t="s">
        <v>33</v>
      </c>
      <c r="N961" s="7" t="s">
        <v>19</v>
      </c>
      <c r="O961" s="7" t="s">
        <v>33</v>
      </c>
    </row>
    <row r="962" spans="7:15" x14ac:dyDescent="0.3">
      <c r="G962" s="6" t="s">
        <v>19</v>
      </c>
      <c r="H962" s="6" t="s">
        <v>33</v>
      </c>
      <c r="N962" s="6" t="s">
        <v>19</v>
      </c>
      <c r="O962" s="6" t="s">
        <v>33</v>
      </c>
    </row>
    <row r="963" spans="7:15" x14ac:dyDescent="0.3">
      <c r="G963" s="7" t="s">
        <v>19</v>
      </c>
      <c r="H963" s="7" t="s">
        <v>33</v>
      </c>
      <c r="N963" s="7" t="s">
        <v>19</v>
      </c>
      <c r="O963" s="7" t="s">
        <v>33</v>
      </c>
    </row>
    <row r="964" spans="7:15" x14ac:dyDescent="0.3">
      <c r="G964" s="6" t="s">
        <v>19</v>
      </c>
      <c r="H964" s="6" t="s">
        <v>364</v>
      </c>
      <c r="N964" s="6" t="s">
        <v>19</v>
      </c>
      <c r="O964" s="6" t="s">
        <v>364</v>
      </c>
    </row>
    <row r="965" spans="7:15" x14ac:dyDescent="0.3">
      <c r="G965" s="7" t="s">
        <v>19</v>
      </c>
      <c r="H965" s="7" t="s">
        <v>802</v>
      </c>
      <c r="N965" s="7" t="s">
        <v>19</v>
      </c>
      <c r="O965" s="7" t="s">
        <v>802</v>
      </c>
    </row>
    <row r="966" spans="7:15" x14ac:dyDescent="0.3">
      <c r="G966" s="6" t="s">
        <v>19</v>
      </c>
      <c r="H966" s="6" t="s">
        <v>188</v>
      </c>
      <c r="N966" s="6" t="s">
        <v>19</v>
      </c>
      <c r="O966" s="6" t="s">
        <v>188</v>
      </c>
    </row>
    <row r="967" spans="7:15" x14ac:dyDescent="0.3">
      <c r="G967" s="7" t="s">
        <v>19</v>
      </c>
      <c r="H967" s="7" t="s">
        <v>188</v>
      </c>
      <c r="N967" s="7" t="s">
        <v>19</v>
      </c>
      <c r="O967" s="7" t="s">
        <v>188</v>
      </c>
    </row>
    <row r="968" spans="7:15" x14ac:dyDescent="0.3">
      <c r="G968" s="6" t="s">
        <v>19</v>
      </c>
      <c r="H968" s="6" t="s">
        <v>52</v>
      </c>
      <c r="N968" s="6" t="s">
        <v>19</v>
      </c>
      <c r="O968" s="6" t="s">
        <v>52</v>
      </c>
    </row>
    <row r="969" spans="7:15" x14ac:dyDescent="0.3">
      <c r="G969" s="7" t="s">
        <v>19</v>
      </c>
      <c r="H969" s="7" t="s">
        <v>55</v>
      </c>
      <c r="N969" s="7" t="s">
        <v>19</v>
      </c>
      <c r="O969" s="7" t="s">
        <v>55</v>
      </c>
    </row>
    <row r="970" spans="7:15" x14ac:dyDescent="0.3">
      <c r="G970" s="6" t="s">
        <v>19</v>
      </c>
      <c r="H970" s="6" t="s">
        <v>55</v>
      </c>
      <c r="N970" s="6" t="s">
        <v>19</v>
      </c>
      <c r="O970" s="6" t="s">
        <v>55</v>
      </c>
    </row>
    <row r="971" spans="7:15" x14ac:dyDescent="0.3">
      <c r="G971" s="7" t="s">
        <v>19</v>
      </c>
      <c r="H971" s="7" t="s">
        <v>62</v>
      </c>
      <c r="N971" s="7" t="s">
        <v>19</v>
      </c>
      <c r="O971" s="7" t="s">
        <v>62</v>
      </c>
    </row>
    <row r="972" spans="7:15" x14ac:dyDescent="0.3">
      <c r="G972" s="6" t="s">
        <v>19</v>
      </c>
      <c r="H972" s="6" t="s">
        <v>62</v>
      </c>
      <c r="N972" s="6" t="s">
        <v>19</v>
      </c>
      <c r="O972" s="6" t="s">
        <v>62</v>
      </c>
    </row>
    <row r="973" spans="7:15" x14ac:dyDescent="0.3">
      <c r="G973" s="7" t="s">
        <v>19</v>
      </c>
      <c r="H973" s="7" t="s">
        <v>62</v>
      </c>
      <c r="N973" s="7" t="s">
        <v>19</v>
      </c>
      <c r="O973" s="7" t="s">
        <v>62</v>
      </c>
    </row>
    <row r="974" spans="7:15" x14ac:dyDescent="0.3">
      <c r="G974" s="6" t="s">
        <v>19</v>
      </c>
      <c r="H974" s="6" t="s">
        <v>62</v>
      </c>
      <c r="N974" s="6" t="s">
        <v>19</v>
      </c>
      <c r="O974" s="6" t="s">
        <v>62</v>
      </c>
    </row>
    <row r="975" spans="7:15" x14ac:dyDescent="0.3">
      <c r="G975" s="7" t="s">
        <v>19</v>
      </c>
      <c r="H975" s="7" t="s">
        <v>74</v>
      </c>
      <c r="N975" s="7" t="s">
        <v>19</v>
      </c>
      <c r="O975" s="7" t="s">
        <v>74</v>
      </c>
    </row>
    <row r="976" spans="7:15" x14ac:dyDescent="0.3">
      <c r="G976" s="6" t="s">
        <v>19</v>
      </c>
      <c r="H976" s="6" t="s">
        <v>77</v>
      </c>
      <c r="N976" s="6" t="s">
        <v>19</v>
      </c>
      <c r="O976" s="6" t="s">
        <v>77</v>
      </c>
    </row>
    <row r="977" spans="7:15" x14ac:dyDescent="0.3">
      <c r="G977" s="7" t="s">
        <v>19</v>
      </c>
      <c r="H977" s="7" t="s">
        <v>77</v>
      </c>
      <c r="N977" s="7" t="s">
        <v>19</v>
      </c>
      <c r="O977" s="7" t="s">
        <v>77</v>
      </c>
    </row>
    <row r="978" spans="7:15" x14ac:dyDescent="0.3">
      <c r="G978" s="6" t="s">
        <v>19</v>
      </c>
      <c r="H978" s="6" t="s">
        <v>110</v>
      </c>
      <c r="N978" s="6" t="s">
        <v>19</v>
      </c>
      <c r="O978" s="6" t="s">
        <v>110</v>
      </c>
    </row>
    <row r="979" spans="7:15" x14ac:dyDescent="0.3">
      <c r="G979" s="7" t="s">
        <v>19</v>
      </c>
      <c r="H979" s="7" t="s">
        <v>110</v>
      </c>
      <c r="N979" s="7" t="s">
        <v>19</v>
      </c>
      <c r="O979" s="7" t="s">
        <v>110</v>
      </c>
    </row>
    <row r="980" spans="7:15" x14ac:dyDescent="0.3">
      <c r="G980" s="6" t="s">
        <v>19</v>
      </c>
      <c r="H980" s="6" t="s">
        <v>292</v>
      </c>
      <c r="N980" s="6" t="s">
        <v>19</v>
      </c>
      <c r="O980" s="6" t="s">
        <v>292</v>
      </c>
    </row>
    <row r="981" spans="7:15" x14ac:dyDescent="0.3">
      <c r="G981" s="7" t="s">
        <v>19</v>
      </c>
      <c r="H981" s="7" t="s">
        <v>997</v>
      </c>
      <c r="N981" s="7" t="s">
        <v>19</v>
      </c>
      <c r="O981" s="7" t="s">
        <v>997</v>
      </c>
    </row>
    <row r="982" spans="7:15" x14ac:dyDescent="0.3">
      <c r="G982" s="6" t="s">
        <v>19</v>
      </c>
      <c r="H982" s="6" t="s">
        <v>82</v>
      </c>
      <c r="N982" s="6" t="s">
        <v>19</v>
      </c>
      <c r="O982" s="6" t="s">
        <v>82</v>
      </c>
    </row>
    <row r="983" spans="7:15" x14ac:dyDescent="0.3">
      <c r="G983" s="7" t="s">
        <v>19</v>
      </c>
      <c r="H983" s="7" t="s">
        <v>243</v>
      </c>
      <c r="N983" s="7" t="s">
        <v>19</v>
      </c>
      <c r="O983" s="7" t="s">
        <v>243</v>
      </c>
    </row>
    <row r="984" spans="7:15" x14ac:dyDescent="0.3">
      <c r="G984" s="6" t="s">
        <v>19</v>
      </c>
      <c r="H984" s="6" t="s">
        <v>33</v>
      </c>
      <c r="N984" s="6" t="s">
        <v>19</v>
      </c>
      <c r="O984" s="6" t="s">
        <v>33</v>
      </c>
    </row>
    <row r="985" spans="7:15" x14ac:dyDescent="0.3">
      <c r="G985" s="7" t="s">
        <v>19</v>
      </c>
      <c r="H985" s="7" t="s">
        <v>33</v>
      </c>
      <c r="N985" s="7" t="s">
        <v>19</v>
      </c>
      <c r="O985" s="7" t="s">
        <v>33</v>
      </c>
    </row>
    <row r="986" spans="7:15" x14ac:dyDescent="0.3">
      <c r="G986" s="6" t="s">
        <v>19</v>
      </c>
      <c r="H986" s="6" t="s">
        <v>33</v>
      </c>
      <c r="N986" s="6" t="s">
        <v>19</v>
      </c>
      <c r="O986" s="6" t="s">
        <v>33</v>
      </c>
    </row>
    <row r="987" spans="7:15" x14ac:dyDescent="0.3">
      <c r="G987" s="7" t="s">
        <v>19</v>
      </c>
      <c r="H987" s="7" t="s">
        <v>33</v>
      </c>
      <c r="N987" s="7" t="s">
        <v>19</v>
      </c>
      <c r="O987" s="7" t="s">
        <v>33</v>
      </c>
    </row>
    <row r="988" spans="7:15" x14ac:dyDescent="0.3">
      <c r="G988" s="6" t="s">
        <v>19</v>
      </c>
      <c r="H988" s="6" t="s">
        <v>33</v>
      </c>
      <c r="N988" s="6" t="s">
        <v>19</v>
      </c>
      <c r="O988" s="6" t="s">
        <v>33</v>
      </c>
    </row>
    <row r="989" spans="7:15" x14ac:dyDescent="0.3">
      <c r="G989" s="7" t="s">
        <v>19</v>
      </c>
      <c r="H989" s="7" t="s">
        <v>33</v>
      </c>
      <c r="N989" s="7" t="s">
        <v>19</v>
      </c>
      <c r="O989" s="7" t="s">
        <v>33</v>
      </c>
    </row>
    <row r="990" spans="7:15" x14ac:dyDescent="0.3">
      <c r="G990" s="6" t="s">
        <v>19</v>
      </c>
      <c r="H990" s="6" t="s">
        <v>33</v>
      </c>
      <c r="N990" s="6" t="s">
        <v>19</v>
      </c>
      <c r="O990" s="6" t="s">
        <v>33</v>
      </c>
    </row>
    <row r="991" spans="7:15" x14ac:dyDescent="0.3">
      <c r="G991" s="7" t="s">
        <v>19</v>
      </c>
      <c r="H991" s="7" t="s">
        <v>33</v>
      </c>
      <c r="N991" s="7" t="s">
        <v>19</v>
      </c>
      <c r="O991" s="7" t="s">
        <v>33</v>
      </c>
    </row>
    <row r="992" spans="7:15" x14ac:dyDescent="0.3">
      <c r="G992" s="6" t="s">
        <v>19</v>
      </c>
      <c r="H992" s="6" t="s">
        <v>55</v>
      </c>
      <c r="N992" s="6" t="s">
        <v>19</v>
      </c>
      <c r="O992" s="6" t="s">
        <v>55</v>
      </c>
    </row>
    <row r="993" spans="7:15" x14ac:dyDescent="0.3">
      <c r="G993" s="7" t="s">
        <v>19</v>
      </c>
      <c r="H993" s="7" t="s">
        <v>59</v>
      </c>
      <c r="N993" s="7" t="s">
        <v>19</v>
      </c>
      <c r="O993" s="7" t="s">
        <v>59</v>
      </c>
    </row>
    <row r="994" spans="7:15" x14ac:dyDescent="0.3">
      <c r="G994" s="6" t="s">
        <v>19</v>
      </c>
      <c r="H994" s="6" t="s">
        <v>103</v>
      </c>
      <c r="N994" s="6" t="s">
        <v>19</v>
      </c>
      <c r="O994" s="6" t="s">
        <v>103</v>
      </c>
    </row>
    <row r="995" spans="7:15" x14ac:dyDescent="0.3">
      <c r="G995" s="7" t="s">
        <v>19</v>
      </c>
      <c r="H995" s="7" t="s">
        <v>74</v>
      </c>
      <c r="N995" s="7" t="s">
        <v>19</v>
      </c>
      <c r="O995" s="7" t="s">
        <v>74</v>
      </c>
    </row>
    <row r="996" spans="7:15" x14ac:dyDescent="0.3">
      <c r="G996" s="6" t="s">
        <v>19</v>
      </c>
      <c r="H996" s="6" t="s">
        <v>77</v>
      </c>
      <c r="N996" s="6" t="s">
        <v>19</v>
      </c>
      <c r="O996" s="6" t="s">
        <v>77</v>
      </c>
    </row>
    <row r="997" spans="7:15" x14ac:dyDescent="0.3">
      <c r="G997" s="7" t="s">
        <v>19</v>
      </c>
      <c r="H997" s="7" t="s">
        <v>84</v>
      </c>
      <c r="N997" s="7" t="s">
        <v>19</v>
      </c>
      <c r="O997" s="7" t="s">
        <v>84</v>
      </c>
    </row>
    <row r="998" spans="7:15" x14ac:dyDescent="0.3">
      <c r="G998" s="6" t="s">
        <v>19</v>
      </c>
      <c r="H998" s="6" t="s">
        <v>28</v>
      </c>
      <c r="N998" s="6" t="s">
        <v>19</v>
      </c>
      <c r="O998" s="6" t="s">
        <v>28</v>
      </c>
    </row>
    <row r="999" spans="7:15" x14ac:dyDescent="0.3">
      <c r="G999" s="7" t="s">
        <v>19</v>
      </c>
      <c r="H999" s="7" t="s">
        <v>587</v>
      </c>
      <c r="N999" s="7" t="s">
        <v>19</v>
      </c>
      <c r="O999" s="7" t="s">
        <v>587</v>
      </c>
    </row>
    <row r="1000" spans="7:15" x14ac:dyDescent="0.3">
      <c r="G1000" s="6" t="s">
        <v>19</v>
      </c>
      <c r="H1000" s="6" t="s">
        <v>147</v>
      </c>
      <c r="N1000" s="6" t="s">
        <v>19</v>
      </c>
      <c r="O1000" s="6" t="s">
        <v>147</v>
      </c>
    </row>
    <row r="1001" spans="7:15" x14ac:dyDescent="0.3">
      <c r="G1001" s="7" t="s">
        <v>19</v>
      </c>
      <c r="H1001" s="7" t="s">
        <v>33</v>
      </c>
      <c r="N1001" s="7" t="s">
        <v>19</v>
      </c>
      <c r="O1001" s="7" t="s">
        <v>33</v>
      </c>
    </row>
    <row r="1002" spans="7:15" x14ac:dyDescent="0.3">
      <c r="G1002" s="6" t="s">
        <v>19</v>
      </c>
      <c r="H1002" s="6" t="s">
        <v>33</v>
      </c>
      <c r="N1002" s="6" t="s">
        <v>19</v>
      </c>
      <c r="O1002" s="6" t="s">
        <v>33</v>
      </c>
    </row>
    <row r="1003" spans="7:15" x14ac:dyDescent="0.3">
      <c r="G1003" s="7" t="s">
        <v>19</v>
      </c>
      <c r="H1003" s="7" t="s">
        <v>33</v>
      </c>
      <c r="N1003" s="7" t="s">
        <v>19</v>
      </c>
      <c r="O1003" s="7" t="s">
        <v>33</v>
      </c>
    </row>
    <row r="1004" spans="7:15" x14ac:dyDescent="0.3">
      <c r="G1004" s="6" t="s">
        <v>19</v>
      </c>
      <c r="H1004" s="6" t="s">
        <v>33</v>
      </c>
      <c r="N1004" s="6" t="s">
        <v>19</v>
      </c>
      <c r="O1004" s="6" t="s">
        <v>33</v>
      </c>
    </row>
    <row r="1005" spans="7:15" x14ac:dyDescent="0.3">
      <c r="G1005" s="7" t="s">
        <v>19</v>
      </c>
      <c r="H1005" s="7" t="s">
        <v>33</v>
      </c>
      <c r="N1005" s="7" t="s">
        <v>19</v>
      </c>
      <c r="O1005" s="7" t="s">
        <v>33</v>
      </c>
    </row>
    <row r="1006" spans="7:15" x14ac:dyDescent="0.3">
      <c r="G1006" s="6" t="s">
        <v>19</v>
      </c>
      <c r="H1006" s="6" t="s">
        <v>33</v>
      </c>
      <c r="N1006" s="6" t="s">
        <v>19</v>
      </c>
      <c r="O1006" s="6" t="s">
        <v>33</v>
      </c>
    </row>
    <row r="1007" spans="7:15" x14ac:dyDescent="0.3">
      <c r="G1007" s="7" t="s">
        <v>19</v>
      </c>
      <c r="H1007" s="7" t="s">
        <v>33</v>
      </c>
      <c r="N1007" s="7" t="s">
        <v>19</v>
      </c>
      <c r="O1007" s="7" t="s">
        <v>33</v>
      </c>
    </row>
    <row r="1008" spans="7:15" x14ac:dyDescent="0.3">
      <c r="G1008" s="6" t="s">
        <v>19</v>
      </c>
      <c r="H1008" s="6" t="s">
        <v>33</v>
      </c>
      <c r="N1008" s="6" t="s">
        <v>19</v>
      </c>
      <c r="O1008" s="6" t="s">
        <v>33</v>
      </c>
    </row>
    <row r="1009" spans="7:15" x14ac:dyDescent="0.3">
      <c r="G1009" s="7" t="s">
        <v>19</v>
      </c>
      <c r="H1009" s="7" t="s">
        <v>33</v>
      </c>
      <c r="N1009" s="7" t="s">
        <v>19</v>
      </c>
      <c r="O1009" s="7" t="s">
        <v>33</v>
      </c>
    </row>
    <row r="1010" spans="7:15" x14ac:dyDescent="0.3">
      <c r="G1010" s="6" t="s">
        <v>19</v>
      </c>
      <c r="H1010" s="6" t="s">
        <v>33</v>
      </c>
      <c r="N1010" s="6" t="s">
        <v>19</v>
      </c>
      <c r="O1010" s="6" t="s">
        <v>33</v>
      </c>
    </row>
    <row r="1011" spans="7:15" x14ac:dyDescent="0.3">
      <c r="G1011" s="7" t="s">
        <v>19</v>
      </c>
      <c r="H1011" s="7" t="s">
        <v>33</v>
      </c>
      <c r="N1011" s="7" t="s">
        <v>19</v>
      </c>
      <c r="O1011" s="7" t="s">
        <v>33</v>
      </c>
    </row>
    <row r="1012" spans="7:15" x14ac:dyDescent="0.3">
      <c r="G1012" s="6" t="s">
        <v>19</v>
      </c>
      <c r="H1012" s="6" t="s">
        <v>33</v>
      </c>
      <c r="N1012" s="6" t="s">
        <v>19</v>
      </c>
      <c r="O1012" s="6" t="s">
        <v>33</v>
      </c>
    </row>
    <row r="1013" spans="7:15" x14ac:dyDescent="0.3">
      <c r="G1013" s="7" t="s">
        <v>19</v>
      </c>
      <c r="H1013" s="7" t="s">
        <v>55</v>
      </c>
      <c r="N1013" s="7" t="s">
        <v>19</v>
      </c>
      <c r="O1013" s="7" t="s">
        <v>55</v>
      </c>
    </row>
    <row r="1014" spans="7:15" x14ac:dyDescent="0.3">
      <c r="G1014" s="6" t="s">
        <v>19</v>
      </c>
      <c r="H1014" s="6" t="s">
        <v>55</v>
      </c>
      <c r="N1014" s="6" t="s">
        <v>19</v>
      </c>
      <c r="O1014" s="6" t="s">
        <v>55</v>
      </c>
    </row>
    <row r="1015" spans="7:15" x14ac:dyDescent="0.3">
      <c r="G1015" s="7" t="s">
        <v>19</v>
      </c>
      <c r="H1015" s="7" t="s">
        <v>342</v>
      </c>
      <c r="N1015" s="7" t="s">
        <v>19</v>
      </c>
      <c r="O1015" s="7" t="s">
        <v>342</v>
      </c>
    </row>
    <row r="1016" spans="7:15" x14ac:dyDescent="0.3">
      <c r="G1016" s="6" t="s">
        <v>19</v>
      </c>
      <c r="H1016" s="6" t="s">
        <v>59</v>
      </c>
      <c r="N1016" s="6" t="s">
        <v>19</v>
      </c>
      <c r="O1016" s="6" t="s">
        <v>59</v>
      </c>
    </row>
    <row r="1017" spans="7:15" x14ac:dyDescent="0.3">
      <c r="G1017" s="7" t="s">
        <v>19</v>
      </c>
      <c r="H1017" s="7" t="s">
        <v>59</v>
      </c>
      <c r="N1017" s="7" t="s">
        <v>19</v>
      </c>
      <c r="O1017" s="7" t="s">
        <v>59</v>
      </c>
    </row>
    <row r="1018" spans="7:15" x14ac:dyDescent="0.3">
      <c r="G1018" s="6" t="s">
        <v>19</v>
      </c>
      <c r="H1018" s="6" t="s">
        <v>62</v>
      </c>
      <c r="N1018" s="6" t="s">
        <v>19</v>
      </c>
      <c r="O1018" s="6" t="s">
        <v>62</v>
      </c>
    </row>
    <row r="1019" spans="7:15" x14ac:dyDescent="0.3">
      <c r="G1019" s="7" t="s">
        <v>19</v>
      </c>
      <c r="H1019" s="7" t="s">
        <v>62</v>
      </c>
      <c r="N1019" s="7" t="s">
        <v>19</v>
      </c>
      <c r="O1019" s="7" t="s">
        <v>62</v>
      </c>
    </row>
    <row r="1020" spans="7:15" x14ac:dyDescent="0.3">
      <c r="G1020" s="6" t="s">
        <v>19</v>
      </c>
      <c r="H1020" s="6" t="s">
        <v>62</v>
      </c>
      <c r="N1020" s="6" t="s">
        <v>19</v>
      </c>
      <c r="O1020" s="6" t="s">
        <v>62</v>
      </c>
    </row>
    <row r="1021" spans="7:15" x14ac:dyDescent="0.3">
      <c r="G1021" s="7" t="s">
        <v>19</v>
      </c>
      <c r="H1021" s="7" t="s">
        <v>62</v>
      </c>
      <c r="N1021" s="7" t="s">
        <v>19</v>
      </c>
      <c r="O1021" s="7" t="s">
        <v>62</v>
      </c>
    </row>
    <row r="1022" spans="7:15" x14ac:dyDescent="0.3">
      <c r="G1022" s="6" t="s">
        <v>19</v>
      </c>
      <c r="H1022" s="6" t="s">
        <v>62</v>
      </c>
      <c r="N1022" s="6" t="s">
        <v>19</v>
      </c>
      <c r="O1022" s="6" t="s">
        <v>62</v>
      </c>
    </row>
    <row r="1023" spans="7:15" x14ac:dyDescent="0.3">
      <c r="G1023" s="7" t="s">
        <v>19</v>
      </c>
      <c r="H1023" s="7" t="s">
        <v>74</v>
      </c>
      <c r="N1023" s="7" t="s">
        <v>19</v>
      </c>
      <c r="O1023" s="7" t="s">
        <v>74</v>
      </c>
    </row>
    <row r="1024" spans="7:15" x14ac:dyDescent="0.3">
      <c r="G1024" s="6" t="s">
        <v>19</v>
      </c>
      <c r="H1024" s="6" t="s">
        <v>77</v>
      </c>
      <c r="N1024" s="6" t="s">
        <v>19</v>
      </c>
      <c r="O1024" s="6" t="s">
        <v>77</v>
      </c>
    </row>
    <row r="1025" spans="7:15" x14ac:dyDescent="0.3">
      <c r="G1025" s="7" t="s">
        <v>19</v>
      </c>
      <c r="H1025" s="7" t="s">
        <v>77</v>
      </c>
      <c r="N1025" s="7" t="s">
        <v>19</v>
      </c>
      <c r="O1025" s="7" t="s">
        <v>77</v>
      </c>
    </row>
    <row r="1026" spans="7:15" x14ac:dyDescent="0.3">
      <c r="G1026" s="6" t="s">
        <v>19</v>
      </c>
      <c r="H1026" s="6" t="s">
        <v>110</v>
      </c>
      <c r="N1026" s="6" t="s">
        <v>19</v>
      </c>
      <c r="O1026" s="6" t="s">
        <v>110</v>
      </c>
    </row>
    <row r="1027" spans="7:15" x14ac:dyDescent="0.3">
      <c r="G1027" s="7" t="s">
        <v>19</v>
      </c>
      <c r="H1027" s="7" t="s">
        <v>110</v>
      </c>
      <c r="N1027" s="7" t="s">
        <v>19</v>
      </c>
      <c r="O1027" s="7" t="s">
        <v>110</v>
      </c>
    </row>
    <row r="1028" spans="7:15" x14ac:dyDescent="0.3">
      <c r="G1028" s="6" t="s">
        <v>19</v>
      </c>
      <c r="H1028" s="6" t="s">
        <v>113</v>
      </c>
      <c r="N1028" s="6" t="s">
        <v>19</v>
      </c>
      <c r="O1028" s="6" t="s">
        <v>113</v>
      </c>
    </row>
    <row r="1029" spans="7:15" x14ac:dyDescent="0.3">
      <c r="G1029" s="7" t="s">
        <v>19</v>
      </c>
      <c r="H1029" s="7" t="s">
        <v>115</v>
      </c>
      <c r="N1029" s="7" t="s">
        <v>19</v>
      </c>
      <c r="O1029" s="7" t="s">
        <v>115</v>
      </c>
    </row>
    <row r="1030" spans="7:15" x14ac:dyDescent="0.3">
      <c r="G1030" s="6" t="s">
        <v>19</v>
      </c>
      <c r="H1030" s="6" t="s">
        <v>28</v>
      </c>
      <c r="N1030" s="6" t="s">
        <v>19</v>
      </c>
      <c r="O1030" s="6" t="s">
        <v>28</v>
      </c>
    </row>
    <row r="1031" spans="7:15" x14ac:dyDescent="0.3">
      <c r="G1031" s="7" t="s">
        <v>19</v>
      </c>
      <c r="H1031" s="7" t="s">
        <v>147</v>
      </c>
      <c r="N1031" s="7" t="s">
        <v>19</v>
      </c>
      <c r="O1031" s="7" t="s">
        <v>147</v>
      </c>
    </row>
    <row r="1032" spans="7:15" x14ac:dyDescent="0.3">
      <c r="G1032" s="6" t="s">
        <v>19</v>
      </c>
      <c r="H1032" s="6" t="s">
        <v>33</v>
      </c>
      <c r="N1032" s="6" t="s">
        <v>19</v>
      </c>
      <c r="O1032" s="6" t="s">
        <v>33</v>
      </c>
    </row>
    <row r="1033" spans="7:15" x14ac:dyDescent="0.3">
      <c r="G1033" s="7" t="s">
        <v>19</v>
      </c>
      <c r="H1033" s="7" t="s">
        <v>33</v>
      </c>
      <c r="N1033" s="7" t="s">
        <v>19</v>
      </c>
      <c r="O1033" s="7" t="s">
        <v>33</v>
      </c>
    </row>
    <row r="1034" spans="7:15" x14ac:dyDescent="0.3">
      <c r="G1034" s="6" t="s">
        <v>19</v>
      </c>
      <c r="H1034" s="6" t="s">
        <v>33</v>
      </c>
      <c r="N1034" s="6" t="s">
        <v>19</v>
      </c>
      <c r="O1034" s="6" t="s">
        <v>33</v>
      </c>
    </row>
    <row r="1035" spans="7:15" x14ac:dyDescent="0.3">
      <c r="G1035" s="7" t="s">
        <v>19</v>
      </c>
      <c r="H1035" s="7" t="s">
        <v>33</v>
      </c>
      <c r="N1035" s="7" t="s">
        <v>19</v>
      </c>
      <c r="O1035" s="7" t="s">
        <v>33</v>
      </c>
    </row>
    <row r="1036" spans="7:15" x14ac:dyDescent="0.3">
      <c r="G1036" s="6" t="s">
        <v>19</v>
      </c>
      <c r="H1036" s="6" t="s">
        <v>33</v>
      </c>
      <c r="N1036" s="6" t="s">
        <v>19</v>
      </c>
      <c r="O1036" s="6" t="s">
        <v>33</v>
      </c>
    </row>
    <row r="1037" spans="7:15" x14ac:dyDescent="0.3">
      <c r="G1037" s="7" t="s">
        <v>19</v>
      </c>
      <c r="H1037" s="7" t="s">
        <v>33</v>
      </c>
      <c r="N1037" s="7" t="s">
        <v>19</v>
      </c>
      <c r="O1037" s="7" t="s">
        <v>33</v>
      </c>
    </row>
    <row r="1038" spans="7:15" x14ac:dyDescent="0.3">
      <c r="G1038" s="6" t="s">
        <v>19</v>
      </c>
      <c r="H1038" s="6" t="s">
        <v>33</v>
      </c>
      <c r="N1038" s="6" t="s">
        <v>19</v>
      </c>
      <c r="O1038" s="6" t="s">
        <v>33</v>
      </c>
    </row>
    <row r="1039" spans="7:15" x14ac:dyDescent="0.3">
      <c r="G1039" s="7" t="s">
        <v>19</v>
      </c>
      <c r="H1039" s="7" t="s">
        <v>33</v>
      </c>
      <c r="N1039" s="7" t="s">
        <v>19</v>
      </c>
      <c r="O1039" s="7" t="s">
        <v>33</v>
      </c>
    </row>
    <row r="1040" spans="7:15" x14ac:dyDescent="0.3">
      <c r="G1040" s="6" t="s">
        <v>19</v>
      </c>
      <c r="H1040" s="6" t="s">
        <v>33</v>
      </c>
      <c r="N1040" s="6" t="s">
        <v>19</v>
      </c>
      <c r="O1040" s="6" t="s">
        <v>33</v>
      </c>
    </row>
    <row r="1041" spans="7:15" x14ac:dyDescent="0.3">
      <c r="G1041" s="7" t="s">
        <v>19</v>
      </c>
      <c r="H1041" s="7" t="s">
        <v>33</v>
      </c>
      <c r="N1041" s="7" t="s">
        <v>19</v>
      </c>
      <c r="O1041" s="7" t="s">
        <v>33</v>
      </c>
    </row>
    <row r="1042" spans="7:15" x14ac:dyDescent="0.3">
      <c r="G1042" s="6" t="s">
        <v>19</v>
      </c>
      <c r="H1042" s="6" t="s">
        <v>33</v>
      </c>
      <c r="N1042" s="6" t="s">
        <v>19</v>
      </c>
      <c r="O1042" s="6" t="s">
        <v>33</v>
      </c>
    </row>
    <row r="1043" spans="7:15" x14ac:dyDescent="0.3">
      <c r="G1043" s="7" t="s">
        <v>19</v>
      </c>
      <c r="H1043" s="7" t="s">
        <v>33</v>
      </c>
      <c r="N1043" s="7" t="s">
        <v>19</v>
      </c>
      <c r="O1043" s="7" t="s">
        <v>33</v>
      </c>
    </row>
    <row r="1044" spans="7:15" x14ac:dyDescent="0.3">
      <c r="G1044" s="6" t="s">
        <v>19</v>
      </c>
      <c r="H1044" s="6" t="s">
        <v>188</v>
      </c>
      <c r="N1044" s="6" t="s">
        <v>19</v>
      </c>
      <c r="O1044" s="6" t="s">
        <v>188</v>
      </c>
    </row>
    <row r="1045" spans="7:15" x14ac:dyDescent="0.3">
      <c r="G1045" s="7" t="s">
        <v>19</v>
      </c>
      <c r="H1045" s="7" t="s">
        <v>55</v>
      </c>
      <c r="N1045" s="7" t="s">
        <v>19</v>
      </c>
      <c r="O1045" s="7" t="s">
        <v>55</v>
      </c>
    </row>
    <row r="1046" spans="7:15" x14ac:dyDescent="0.3">
      <c r="G1046" s="6" t="s">
        <v>19</v>
      </c>
      <c r="H1046" s="6" t="s">
        <v>55</v>
      </c>
      <c r="N1046" s="6" t="s">
        <v>19</v>
      </c>
      <c r="O1046" s="6" t="s">
        <v>55</v>
      </c>
    </row>
    <row r="1047" spans="7:15" x14ac:dyDescent="0.3">
      <c r="G1047" s="7" t="s">
        <v>19</v>
      </c>
      <c r="H1047" s="7" t="s">
        <v>55</v>
      </c>
      <c r="N1047" s="7" t="s">
        <v>19</v>
      </c>
      <c r="O1047" s="7" t="s">
        <v>55</v>
      </c>
    </row>
    <row r="1048" spans="7:15" x14ac:dyDescent="0.3">
      <c r="G1048" s="6" t="s">
        <v>19</v>
      </c>
      <c r="H1048" s="6" t="s">
        <v>55</v>
      </c>
      <c r="N1048" s="6" t="s">
        <v>19</v>
      </c>
      <c r="O1048" s="6" t="s">
        <v>55</v>
      </c>
    </row>
    <row r="1049" spans="7:15" x14ac:dyDescent="0.3">
      <c r="G1049" s="7" t="s">
        <v>19</v>
      </c>
      <c r="H1049" s="7" t="s">
        <v>59</v>
      </c>
      <c r="N1049" s="7" t="s">
        <v>19</v>
      </c>
      <c r="O1049" s="7" t="s">
        <v>59</v>
      </c>
    </row>
    <row r="1050" spans="7:15" x14ac:dyDescent="0.3">
      <c r="G1050" s="6" t="s">
        <v>19</v>
      </c>
      <c r="H1050" s="6" t="s">
        <v>62</v>
      </c>
      <c r="N1050" s="6" t="s">
        <v>19</v>
      </c>
      <c r="O1050" s="6" t="s">
        <v>62</v>
      </c>
    </row>
    <row r="1051" spans="7:15" x14ac:dyDescent="0.3">
      <c r="G1051" s="7" t="s">
        <v>19</v>
      </c>
      <c r="H1051" s="7" t="s">
        <v>62</v>
      </c>
      <c r="N1051" s="7" t="s">
        <v>19</v>
      </c>
      <c r="O1051" s="7" t="s">
        <v>62</v>
      </c>
    </row>
    <row r="1052" spans="7:15" x14ac:dyDescent="0.3">
      <c r="G1052" s="6" t="s">
        <v>19</v>
      </c>
      <c r="H1052" s="6" t="s">
        <v>62</v>
      </c>
      <c r="N1052" s="6" t="s">
        <v>19</v>
      </c>
      <c r="O1052" s="6" t="s">
        <v>62</v>
      </c>
    </row>
    <row r="1053" spans="7:15" x14ac:dyDescent="0.3">
      <c r="G1053" s="7" t="s">
        <v>19</v>
      </c>
      <c r="H1053" s="7" t="s">
        <v>62</v>
      </c>
      <c r="N1053" s="7" t="s">
        <v>19</v>
      </c>
      <c r="O1053" s="7" t="s">
        <v>62</v>
      </c>
    </row>
    <row r="1054" spans="7:15" x14ac:dyDescent="0.3">
      <c r="G1054" s="6" t="s">
        <v>19</v>
      </c>
      <c r="H1054" s="6" t="s">
        <v>62</v>
      </c>
      <c r="N1054" s="6" t="s">
        <v>19</v>
      </c>
      <c r="O1054" s="6" t="s">
        <v>62</v>
      </c>
    </row>
    <row r="1055" spans="7:15" x14ac:dyDescent="0.3">
      <c r="G1055" s="7" t="s">
        <v>19</v>
      </c>
      <c r="H1055" s="7" t="s">
        <v>103</v>
      </c>
      <c r="N1055" s="7" t="s">
        <v>19</v>
      </c>
      <c r="O1055" s="7" t="s">
        <v>103</v>
      </c>
    </row>
    <row r="1056" spans="7:15" x14ac:dyDescent="0.3">
      <c r="G1056" s="6" t="s">
        <v>19</v>
      </c>
      <c r="H1056" s="6" t="s">
        <v>72</v>
      </c>
      <c r="N1056" s="6" t="s">
        <v>19</v>
      </c>
      <c r="O1056" s="6" t="s">
        <v>72</v>
      </c>
    </row>
    <row r="1057" spans="7:15" x14ac:dyDescent="0.3">
      <c r="G1057" s="7" t="s">
        <v>19</v>
      </c>
      <c r="H1057" s="7" t="s">
        <v>77</v>
      </c>
      <c r="N1057" s="7" t="s">
        <v>19</v>
      </c>
      <c r="O1057" s="7" t="s">
        <v>77</v>
      </c>
    </row>
    <row r="1058" spans="7:15" x14ac:dyDescent="0.3">
      <c r="G1058" s="6" t="s">
        <v>19</v>
      </c>
      <c r="H1058" s="6" t="s">
        <v>77</v>
      </c>
      <c r="N1058" s="6" t="s">
        <v>19</v>
      </c>
      <c r="O1058" s="6" t="s">
        <v>77</v>
      </c>
    </row>
    <row r="1059" spans="7:15" x14ac:dyDescent="0.3">
      <c r="G1059" s="7" t="s">
        <v>19</v>
      </c>
      <c r="H1059" s="7" t="s">
        <v>108</v>
      </c>
      <c r="N1059" s="7" t="s">
        <v>19</v>
      </c>
      <c r="O1059" s="7" t="s">
        <v>108</v>
      </c>
    </row>
    <row r="1060" spans="7:15" x14ac:dyDescent="0.3">
      <c r="G1060" s="6" t="s">
        <v>19</v>
      </c>
      <c r="H1060" s="6" t="s">
        <v>110</v>
      </c>
      <c r="N1060" s="6" t="s">
        <v>19</v>
      </c>
      <c r="O1060" s="6" t="s">
        <v>110</v>
      </c>
    </row>
    <row r="1061" spans="7:15" x14ac:dyDescent="0.3">
      <c r="G1061" s="7" t="s">
        <v>19</v>
      </c>
      <c r="H1061" s="7" t="s">
        <v>82</v>
      </c>
      <c r="N1061" s="7" t="s">
        <v>19</v>
      </c>
      <c r="O1061" s="7" t="s">
        <v>82</v>
      </c>
    </row>
    <row r="1062" spans="7:15" x14ac:dyDescent="0.3">
      <c r="G1062" s="6" t="s">
        <v>19</v>
      </c>
      <c r="H1062" s="6" t="s">
        <v>115</v>
      </c>
      <c r="N1062" s="6" t="s">
        <v>19</v>
      </c>
      <c r="O1062" s="6" t="s">
        <v>115</v>
      </c>
    </row>
    <row r="1063" spans="7:15" x14ac:dyDescent="0.3">
      <c r="G1063" s="7" t="s">
        <v>19</v>
      </c>
      <c r="H1063" s="7" t="s">
        <v>115</v>
      </c>
      <c r="N1063" s="7" t="s">
        <v>19</v>
      </c>
      <c r="O1063" s="7" t="s">
        <v>115</v>
      </c>
    </row>
    <row r="1064" spans="7:15" x14ac:dyDescent="0.3">
      <c r="G1064" s="6" t="s">
        <v>19</v>
      </c>
      <c r="H1064" s="6" t="s">
        <v>115</v>
      </c>
      <c r="N1064" s="6" t="s">
        <v>19</v>
      </c>
      <c r="O1064" s="6" t="s">
        <v>115</v>
      </c>
    </row>
    <row r="1065" spans="7:15" x14ac:dyDescent="0.3">
      <c r="G1065" s="7" t="s">
        <v>19</v>
      </c>
      <c r="H1065" s="7" t="s">
        <v>115</v>
      </c>
      <c r="N1065" s="7" t="s">
        <v>19</v>
      </c>
      <c r="O1065" s="7" t="s">
        <v>115</v>
      </c>
    </row>
    <row r="1066" spans="7:15" x14ac:dyDescent="0.3">
      <c r="G1066" s="6" t="s">
        <v>19</v>
      </c>
      <c r="H1066" s="6" t="s">
        <v>24</v>
      </c>
      <c r="N1066" s="6" t="s">
        <v>19</v>
      </c>
      <c r="O1066" s="6" t="s">
        <v>24</v>
      </c>
    </row>
    <row r="1067" spans="7:15" x14ac:dyDescent="0.3">
      <c r="G1067" s="7" t="s">
        <v>19</v>
      </c>
      <c r="H1067" s="7" t="s">
        <v>24</v>
      </c>
      <c r="N1067" s="7" t="s">
        <v>19</v>
      </c>
      <c r="O1067" s="7" t="s">
        <v>24</v>
      </c>
    </row>
    <row r="1068" spans="7:15" x14ac:dyDescent="0.3">
      <c r="G1068" s="6" t="s">
        <v>19</v>
      </c>
      <c r="H1068" s="6" t="s">
        <v>28</v>
      </c>
      <c r="N1068" s="6" t="s">
        <v>19</v>
      </c>
      <c r="O1068" s="6" t="s">
        <v>28</v>
      </c>
    </row>
    <row r="1069" spans="7:15" x14ac:dyDescent="0.3">
      <c r="G1069" s="7" t="s">
        <v>19</v>
      </c>
      <c r="H1069" s="7" t="s">
        <v>28</v>
      </c>
      <c r="N1069" s="7" t="s">
        <v>19</v>
      </c>
      <c r="O1069" s="7" t="s">
        <v>28</v>
      </c>
    </row>
    <row r="1070" spans="7:15" x14ac:dyDescent="0.3">
      <c r="G1070" s="6" t="s">
        <v>19</v>
      </c>
      <c r="H1070" s="6" t="s">
        <v>147</v>
      </c>
      <c r="N1070" s="6" t="s">
        <v>19</v>
      </c>
      <c r="O1070" s="6" t="s">
        <v>147</v>
      </c>
    </row>
    <row r="1071" spans="7:15" x14ac:dyDescent="0.3">
      <c r="G1071" s="7" t="s">
        <v>19</v>
      </c>
      <c r="H1071" s="7" t="s">
        <v>334</v>
      </c>
      <c r="N1071" s="7" t="s">
        <v>19</v>
      </c>
      <c r="O1071" s="7" t="s">
        <v>334</v>
      </c>
    </row>
    <row r="1072" spans="7:15" x14ac:dyDescent="0.3">
      <c r="G1072" s="6" t="s">
        <v>19</v>
      </c>
      <c r="H1072" s="6" t="s">
        <v>33</v>
      </c>
      <c r="N1072" s="6" t="s">
        <v>19</v>
      </c>
      <c r="O1072" s="6" t="s">
        <v>33</v>
      </c>
    </row>
    <row r="1073" spans="7:15" x14ac:dyDescent="0.3">
      <c r="G1073" s="7" t="s">
        <v>19</v>
      </c>
      <c r="H1073" s="7" t="s">
        <v>33</v>
      </c>
      <c r="N1073" s="7" t="s">
        <v>19</v>
      </c>
      <c r="O1073" s="7" t="s">
        <v>33</v>
      </c>
    </row>
    <row r="1074" spans="7:15" x14ac:dyDescent="0.3">
      <c r="G1074" s="6" t="s">
        <v>19</v>
      </c>
      <c r="H1074" s="6" t="s">
        <v>33</v>
      </c>
      <c r="N1074" s="6" t="s">
        <v>19</v>
      </c>
      <c r="O1074" s="6" t="s">
        <v>33</v>
      </c>
    </row>
    <row r="1075" spans="7:15" x14ac:dyDescent="0.3">
      <c r="G1075" s="7" t="s">
        <v>19</v>
      </c>
      <c r="H1075" s="7" t="s">
        <v>33</v>
      </c>
      <c r="N1075" s="7" t="s">
        <v>19</v>
      </c>
      <c r="O1075" s="7" t="s">
        <v>33</v>
      </c>
    </row>
    <row r="1076" spans="7:15" x14ac:dyDescent="0.3">
      <c r="G1076" s="6" t="s">
        <v>19</v>
      </c>
      <c r="H1076" s="6" t="s">
        <v>33</v>
      </c>
      <c r="N1076" s="6" t="s">
        <v>19</v>
      </c>
      <c r="O1076" s="6" t="s">
        <v>33</v>
      </c>
    </row>
    <row r="1077" spans="7:15" x14ac:dyDescent="0.3">
      <c r="G1077" s="7" t="s">
        <v>19</v>
      </c>
      <c r="H1077" s="7" t="s">
        <v>33</v>
      </c>
      <c r="N1077" s="7" t="s">
        <v>19</v>
      </c>
      <c r="O1077" s="7" t="s">
        <v>33</v>
      </c>
    </row>
    <row r="1078" spans="7:15" x14ac:dyDescent="0.3">
      <c r="G1078" s="6" t="s">
        <v>19</v>
      </c>
      <c r="H1078" s="6" t="s">
        <v>33</v>
      </c>
      <c r="N1078" s="6" t="s">
        <v>19</v>
      </c>
      <c r="O1078" s="6" t="s">
        <v>33</v>
      </c>
    </row>
    <row r="1079" spans="7:15" x14ac:dyDescent="0.3">
      <c r="G1079" s="7" t="s">
        <v>19</v>
      </c>
      <c r="H1079" s="7" t="s">
        <v>33</v>
      </c>
      <c r="N1079" s="7" t="s">
        <v>19</v>
      </c>
      <c r="O1079" s="7" t="s">
        <v>33</v>
      </c>
    </row>
    <row r="1080" spans="7:15" x14ac:dyDescent="0.3">
      <c r="G1080" s="6" t="s">
        <v>19</v>
      </c>
      <c r="H1080" s="6" t="s">
        <v>33</v>
      </c>
      <c r="N1080" s="6" t="s">
        <v>19</v>
      </c>
      <c r="O1080" s="6" t="s">
        <v>33</v>
      </c>
    </row>
    <row r="1081" spans="7:15" x14ac:dyDescent="0.3">
      <c r="G1081" s="7" t="s">
        <v>19</v>
      </c>
      <c r="H1081" s="7" t="s">
        <v>33</v>
      </c>
      <c r="N1081" s="7" t="s">
        <v>19</v>
      </c>
      <c r="O1081" s="7" t="s">
        <v>33</v>
      </c>
    </row>
    <row r="1082" spans="7:15" x14ac:dyDescent="0.3">
      <c r="G1082" s="6" t="s">
        <v>19</v>
      </c>
      <c r="H1082" s="6" t="s">
        <v>33</v>
      </c>
      <c r="N1082" s="6" t="s">
        <v>19</v>
      </c>
      <c r="O1082" s="6" t="s">
        <v>33</v>
      </c>
    </row>
    <row r="1083" spans="7:15" x14ac:dyDescent="0.3">
      <c r="G1083" s="7" t="s">
        <v>19</v>
      </c>
      <c r="H1083" s="7" t="s">
        <v>802</v>
      </c>
      <c r="N1083" s="7" t="s">
        <v>19</v>
      </c>
      <c r="O1083" s="7" t="s">
        <v>802</v>
      </c>
    </row>
    <row r="1084" spans="7:15" x14ac:dyDescent="0.3">
      <c r="G1084" s="6" t="s">
        <v>19</v>
      </c>
      <c r="H1084" s="6" t="s">
        <v>188</v>
      </c>
      <c r="N1084" s="6" t="s">
        <v>19</v>
      </c>
      <c r="O1084" s="6" t="s">
        <v>188</v>
      </c>
    </row>
    <row r="1085" spans="7:15" x14ac:dyDescent="0.3">
      <c r="G1085" s="7" t="s">
        <v>19</v>
      </c>
      <c r="H1085" s="7" t="s">
        <v>52</v>
      </c>
      <c r="N1085" s="7" t="s">
        <v>19</v>
      </c>
      <c r="O1085" s="7" t="s">
        <v>52</v>
      </c>
    </row>
    <row r="1086" spans="7:15" x14ac:dyDescent="0.3">
      <c r="G1086" s="6" t="s">
        <v>19</v>
      </c>
      <c r="H1086" s="6" t="s">
        <v>52</v>
      </c>
      <c r="N1086" s="6" t="s">
        <v>19</v>
      </c>
      <c r="O1086" s="6" t="s">
        <v>52</v>
      </c>
    </row>
    <row r="1087" spans="7:15" x14ac:dyDescent="0.3">
      <c r="G1087" s="7" t="s">
        <v>19</v>
      </c>
      <c r="H1087" s="7" t="s">
        <v>55</v>
      </c>
      <c r="N1087" s="7" t="s">
        <v>19</v>
      </c>
      <c r="O1087" s="7" t="s">
        <v>55</v>
      </c>
    </row>
    <row r="1088" spans="7:15" x14ac:dyDescent="0.3">
      <c r="G1088" s="6" t="s">
        <v>19</v>
      </c>
      <c r="H1088" s="6" t="s">
        <v>55</v>
      </c>
      <c r="N1088" s="6" t="s">
        <v>19</v>
      </c>
      <c r="O1088" s="6" t="s">
        <v>55</v>
      </c>
    </row>
    <row r="1089" spans="7:15" x14ac:dyDescent="0.3">
      <c r="G1089" s="7" t="s">
        <v>19</v>
      </c>
      <c r="H1089" s="7" t="s">
        <v>59</v>
      </c>
      <c r="N1089" s="7" t="s">
        <v>19</v>
      </c>
      <c r="O1089" s="7" t="s">
        <v>59</v>
      </c>
    </row>
    <row r="1090" spans="7:15" x14ac:dyDescent="0.3">
      <c r="G1090" s="6" t="s">
        <v>19</v>
      </c>
      <c r="H1090" s="6" t="s">
        <v>59</v>
      </c>
      <c r="N1090" s="6" t="s">
        <v>19</v>
      </c>
      <c r="O1090" s="6" t="s">
        <v>59</v>
      </c>
    </row>
    <row r="1091" spans="7:15" x14ac:dyDescent="0.3">
      <c r="G1091" s="7" t="s">
        <v>19</v>
      </c>
      <c r="H1091" s="7" t="s">
        <v>59</v>
      </c>
      <c r="N1091" s="7" t="s">
        <v>19</v>
      </c>
      <c r="O1091" s="7" t="s">
        <v>59</v>
      </c>
    </row>
    <row r="1092" spans="7:15" x14ac:dyDescent="0.3">
      <c r="G1092" s="6" t="s">
        <v>19</v>
      </c>
      <c r="H1092" s="6" t="s">
        <v>62</v>
      </c>
      <c r="N1092" s="6" t="s">
        <v>19</v>
      </c>
      <c r="O1092" s="6" t="s">
        <v>62</v>
      </c>
    </row>
    <row r="1093" spans="7:15" x14ac:dyDescent="0.3">
      <c r="G1093" s="7" t="s">
        <v>19</v>
      </c>
      <c r="H1093" s="7" t="s">
        <v>62</v>
      </c>
      <c r="N1093" s="7" t="s">
        <v>19</v>
      </c>
      <c r="O1093" s="7" t="s">
        <v>62</v>
      </c>
    </row>
    <row r="1094" spans="7:15" x14ac:dyDescent="0.3">
      <c r="G1094" s="6" t="s">
        <v>19</v>
      </c>
      <c r="H1094" s="6" t="s">
        <v>62</v>
      </c>
      <c r="N1094" s="6" t="s">
        <v>19</v>
      </c>
      <c r="O1094" s="6" t="s">
        <v>62</v>
      </c>
    </row>
    <row r="1095" spans="7:15" x14ac:dyDescent="0.3">
      <c r="G1095" s="7" t="s">
        <v>19</v>
      </c>
      <c r="H1095" s="7" t="s">
        <v>62</v>
      </c>
      <c r="N1095" s="7" t="s">
        <v>19</v>
      </c>
      <c r="O1095" s="7" t="s">
        <v>62</v>
      </c>
    </row>
    <row r="1096" spans="7:15" x14ac:dyDescent="0.3">
      <c r="G1096" s="6" t="s">
        <v>19</v>
      </c>
      <c r="H1096" s="6" t="s">
        <v>62</v>
      </c>
      <c r="N1096" s="6" t="s">
        <v>19</v>
      </c>
      <c r="O1096" s="6" t="s">
        <v>62</v>
      </c>
    </row>
    <row r="1097" spans="7:15" x14ac:dyDescent="0.3">
      <c r="G1097" s="7" t="s">
        <v>19</v>
      </c>
      <c r="H1097" s="7" t="s">
        <v>62</v>
      </c>
      <c r="N1097" s="7" t="s">
        <v>19</v>
      </c>
      <c r="O1097" s="7" t="s">
        <v>62</v>
      </c>
    </row>
    <row r="1098" spans="7:15" x14ac:dyDescent="0.3">
      <c r="G1098" s="6" t="s">
        <v>19</v>
      </c>
      <c r="H1098" s="6" t="s">
        <v>77</v>
      </c>
      <c r="N1098" s="6" t="s">
        <v>19</v>
      </c>
      <c r="O1098" s="6" t="s">
        <v>77</v>
      </c>
    </row>
    <row r="1099" spans="7:15" x14ac:dyDescent="0.3">
      <c r="G1099" s="7" t="s">
        <v>19</v>
      </c>
      <c r="H1099" s="7" t="s">
        <v>1116</v>
      </c>
      <c r="N1099" s="7" t="s">
        <v>19</v>
      </c>
      <c r="O1099" s="7" t="s">
        <v>1116</v>
      </c>
    </row>
    <row r="1100" spans="7:15" x14ac:dyDescent="0.3">
      <c r="G1100" s="6" t="s">
        <v>19</v>
      </c>
      <c r="H1100" s="6" t="s">
        <v>1116</v>
      </c>
      <c r="N1100" s="6" t="s">
        <v>19</v>
      </c>
      <c r="O1100" s="6" t="s">
        <v>1116</v>
      </c>
    </row>
    <row r="1101" spans="7:15" x14ac:dyDescent="0.3">
      <c r="G1101" s="7" t="s">
        <v>19</v>
      </c>
      <c r="H1101" s="7" t="s">
        <v>110</v>
      </c>
      <c r="N1101" s="7" t="s">
        <v>19</v>
      </c>
      <c r="O1101" s="7" t="s">
        <v>110</v>
      </c>
    </row>
    <row r="1102" spans="7:15" x14ac:dyDescent="0.3">
      <c r="G1102" s="6" t="s">
        <v>19</v>
      </c>
      <c r="H1102" s="6" t="s">
        <v>110</v>
      </c>
      <c r="N1102" s="6" t="s">
        <v>19</v>
      </c>
      <c r="O1102" s="6" t="s">
        <v>110</v>
      </c>
    </row>
    <row r="1103" spans="7:15" x14ac:dyDescent="0.3">
      <c r="G1103" s="7" t="s">
        <v>19</v>
      </c>
      <c r="H1103" s="7" t="s">
        <v>115</v>
      </c>
      <c r="N1103" s="7" t="s">
        <v>19</v>
      </c>
      <c r="O1103" s="7" t="s">
        <v>115</v>
      </c>
    </row>
    <row r="1104" spans="7:15" x14ac:dyDescent="0.3">
      <c r="G1104" s="6" t="s">
        <v>19</v>
      </c>
      <c r="H1104" s="6" t="s">
        <v>115</v>
      </c>
      <c r="N1104" s="6" t="s">
        <v>19</v>
      </c>
      <c r="O1104" s="6" t="s">
        <v>115</v>
      </c>
    </row>
    <row r="1105" spans="7:15" x14ac:dyDescent="0.3">
      <c r="G1105" s="7" t="s">
        <v>19</v>
      </c>
      <c r="H1105" s="7" t="s">
        <v>147</v>
      </c>
      <c r="N1105" s="7" t="s">
        <v>19</v>
      </c>
      <c r="O1105" s="7" t="s">
        <v>147</v>
      </c>
    </row>
    <row r="1106" spans="7:15" x14ac:dyDescent="0.3">
      <c r="G1106" s="6" t="s">
        <v>19</v>
      </c>
      <c r="H1106" s="6" t="s">
        <v>33</v>
      </c>
      <c r="N1106" s="6" t="s">
        <v>19</v>
      </c>
      <c r="O1106" s="6" t="s">
        <v>33</v>
      </c>
    </row>
    <row r="1107" spans="7:15" x14ac:dyDescent="0.3">
      <c r="G1107" s="7" t="s">
        <v>19</v>
      </c>
      <c r="H1107" s="7" t="s">
        <v>33</v>
      </c>
      <c r="N1107" s="7" t="s">
        <v>19</v>
      </c>
      <c r="O1107" s="7" t="s">
        <v>33</v>
      </c>
    </row>
    <row r="1108" spans="7:15" x14ac:dyDescent="0.3">
      <c r="G1108" s="6" t="s">
        <v>19</v>
      </c>
      <c r="H1108" s="6" t="s">
        <v>33</v>
      </c>
      <c r="N1108" s="6" t="s">
        <v>19</v>
      </c>
      <c r="O1108" s="6" t="s">
        <v>33</v>
      </c>
    </row>
    <row r="1109" spans="7:15" x14ac:dyDescent="0.3">
      <c r="G1109" s="7" t="s">
        <v>19</v>
      </c>
      <c r="H1109" s="7" t="s">
        <v>33</v>
      </c>
      <c r="N1109" s="7" t="s">
        <v>19</v>
      </c>
      <c r="O1109" s="7" t="s">
        <v>33</v>
      </c>
    </row>
    <row r="1110" spans="7:15" x14ac:dyDescent="0.3">
      <c r="G1110" s="6" t="s">
        <v>19</v>
      </c>
      <c r="H1110" s="6" t="s">
        <v>33</v>
      </c>
      <c r="N1110" s="6" t="s">
        <v>19</v>
      </c>
      <c r="O1110" s="6" t="s">
        <v>33</v>
      </c>
    </row>
    <row r="1111" spans="7:15" x14ac:dyDescent="0.3">
      <c r="G1111" s="7" t="s">
        <v>19</v>
      </c>
      <c r="H1111" s="7" t="s">
        <v>33</v>
      </c>
      <c r="N1111" s="7" t="s">
        <v>19</v>
      </c>
      <c r="O1111" s="7" t="s">
        <v>33</v>
      </c>
    </row>
    <row r="1112" spans="7:15" x14ac:dyDescent="0.3">
      <c r="G1112" s="6" t="s">
        <v>19</v>
      </c>
      <c r="H1112" s="6" t="s">
        <v>33</v>
      </c>
      <c r="N1112" s="6" t="s">
        <v>19</v>
      </c>
      <c r="O1112" s="6" t="s">
        <v>33</v>
      </c>
    </row>
    <row r="1113" spans="7:15" x14ac:dyDescent="0.3">
      <c r="G1113" s="7" t="s">
        <v>19</v>
      </c>
      <c r="H1113" s="7" t="s">
        <v>33</v>
      </c>
      <c r="N1113" s="7" t="s">
        <v>19</v>
      </c>
      <c r="O1113" s="7" t="s">
        <v>33</v>
      </c>
    </row>
    <row r="1114" spans="7:15" x14ac:dyDescent="0.3">
      <c r="G1114" s="6" t="s">
        <v>19</v>
      </c>
      <c r="H1114" s="6" t="s">
        <v>33</v>
      </c>
      <c r="N1114" s="6" t="s">
        <v>19</v>
      </c>
      <c r="O1114" s="6" t="s">
        <v>33</v>
      </c>
    </row>
    <row r="1115" spans="7:15" x14ac:dyDescent="0.3">
      <c r="G1115" s="7" t="s">
        <v>19</v>
      </c>
      <c r="H1115" s="7" t="s">
        <v>33</v>
      </c>
      <c r="N1115" s="7" t="s">
        <v>19</v>
      </c>
      <c r="O1115" s="7" t="s">
        <v>33</v>
      </c>
    </row>
    <row r="1116" spans="7:15" x14ac:dyDescent="0.3">
      <c r="G1116" s="6" t="s">
        <v>19</v>
      </c>
      <c r="H1116" s="6" t="s">
        <v>33</v>
      </c>
      <c r="N1116" s="6" t="s">
        <v>19</v>
      </c>
      <c r="O1116" s="6" t="s">
        <v>33</v>
      </c>
    </row>
    <row r="1117" spans="7:15" x14ac:dyDescent="0.3">
      <c r="G1117" s="7" t="s">
        <v>19</v>
      </c>
      <c r="H1117" s="7" t="s">
        <v>545</v>
      </c>
      <c r="N1117" s="7" t="s">
        <v>19</v>
      </c>
      <c r="O1117" s="7" t="s">
        <v>545</v>
      </c>
    </row>
    <row r="1118" spans="7:15" x14ac:dyDescent="0.3">
      <c r="G1118" s="6" t="s">
        <v>19</v>
      </c>
      <c r="H1118" s="6" t="s">
        <v>188</v>
      </c>
      <c r="N1118" s="6" t="s">
        <v>19</v>
      </c>
      <c r="O1118" s="6" t="s">
        <v>188</v>
      </c>
    </row>
    <row r="1119" spans="7:15" x14ac:dyDescent="0.3">
      <c r="G1119" s="7" t="s">
        <v>19</v>
      </c>
      <c r="H1119" s="7" t="s">
        <v>55</v>
      </c>
      <c r="N1119" s="7" t="s">
        <v>19</v>
      </c>
      <c r="O1119" s="7" t="s">
        <v>55</v>
      </c>
    </row>
    <row r="1120" spans="7:15" x14ac:dyDescent="0.3">
      <c r="G1120" s="6" t="s">
        <v>19</v>
      </c>
      <c r="H1120" s="6" t="s">
        <v>55</v>
      </c>
      <c r="N1120" s="6" t="s">
        <v>19</v>
      </c>
      <c r="O1120" s="6" t="s">
        <v>55</v>
      </c>
    </row>
    <row r="1121" spans="7:15" x14ac:dyDescent="0.3">
      <c r="G1121" s="7" t="s">
        <v>19</v>
      </c>
      <c r="H1121" s="7" t="s">
        <v>342</v>
      </c>
      <c r="N1121" s="7" t="s">
        <v>19</v>
      </c>
      <c r="O1121" s="7" t="s">
        <v>342</v>
      </c>
    </row>
    <row r="1122" spans="7:15" x14ac:dyDescent="0.3">
      <c r="G1122" s="6" t="s">
        <v>19</v>
      </c>
      <c r="H1122" s="6" t="s">
        <v>59</v>
      </c>
      <c r="N1122" s="6" t="s">
        <v>19</v>
      </c>
      <c r="O1122" s="6" t="s">
        <v>59</v>
      </c>
    </row>
    <row r="1123" spans="7:15" x14ac:dyDescent="0.3">
      <c r="G1123" s="7" t="s">
        <v>19</v>
      </c>
      <c r="H1123" s="7" t="s">
        <v>59</v>
      </c>
      <c r="N1123" s="7" t="s">
        <v>19</v>
      </c>
      <c r="O1123" s="7" t="s">
        <v>59</v>
      </c>
    </row>
    <row r="1124" spans="7:15" x14ac:dyDescent="0.3">
      <c r="G1124" s="6" t="s">
        <v>19</v>
      </c>
      <c r="H1124" s="6" t="s">
        <v>59</v>
      </c>
      <c r="N1124" s="6" t="s">
        <v>19</v>
      </c>
      <c r="O1124" s="6" t="s">
        <v>59</v>
      </c>
    </row>
    <row r="1125" spans="7:15" x14ac:dyDescent="0.3">
      <c r="G1125" s="7" t="s">
        <v>19</v>
      </c>
      <c r="H1125" s="7" t="s">
        <v>59</v>
      </c>
      <c r="N1125" s="7" t="s">
        <v>19</v>
      </c>
      <c r="O1125" s="7" t="s">
        <v>59</v>
      </c>
    </row>
    <row r="1126" spans="7:15" x14ac:dyDescent="0.3">
      <c r="G1126" s="6" t="s">
        <v>19</v>
      </c>
      <c r="H1126" s="6" t="s">
        <v>62</v>
      </c>
      <c r="N1126" s="6" t="s">
        <v>19</v>
      </c>
      <c r="O1126" s="6" t="s">
        <v>62</v>
      </c>
    </row>
    <row r="1127" spans="7:15" x14ac:dyDescent="0.3">
      <c r="G1127" s="7" t="s">
        <v>19</v>
      </c>
      <c r="H1127" s="7" t="s">
        <v>62</v>
      </c>
      <c r="N1127" s="7" t="s">
        <v>19</v>
      </c>
      <c r="O1127" s="7" t="s">
        <v>62</v>
      </c>
    </row>
    <row r="1128" spans="7:15" x14ac:dyDescent="0.3">
      <c r="G1128" s="6" t="s">
        <v>19</v>
      </c>
      <c r="H1128" s="6" t="s">
        <v>62</v>
      </c>
      <c r="N1128" s="6" t="s">
        <v>19</v>
      </c>
      <c r="O1128" s="6" t="s">
        <v>62</v>
      </c>
    </row>
    <row r="1129" spans="7:15" x14ac:dyDescent="0.3">
      <c r="G1129" s="7" t="s">
        <v>19</v>
      </c>
      <c r="H1129" s="7" t="s">
        <v>72</v>
      </c>
      <c r="N1129" s="7" t="s">
        <v>19</v>
      </c>
      <c r="O1129" s="7" t="s">
        <v>72</v>
      </c>
    </row>
    <row r="1130" spans="7:15" x14ac:dyDescent="0.3">
      <c r="G1130" s="6" t="s">
        <v>19</v>
      </c>
      <c r="H1130" s="6" t="s">
        <v>72</v>
      </c>
      <c r="N1130" s="6" t="s">
        <v>19</v>
      </c>
      <c r="O1130" s="6" t="s">
        <v>72</v>
      </c>
    </row>
    <row r="1131" spans="7:15" x14ac:dyDescent="0.3">
      <c r="G1131" s="7" t="s">
        <v>19</v>
      </c>
      <c r="H1131" s="7" t="s">
        <v>77</v>
      </c>
      <c r="N1131" s="7" t="s">
        <v>19</v>
      </c>
      <c r="O1131" s="7" t="s">
        <v>77</v>
      </c>
    </row>
    <row r="1132" spans="7:15" x14ac:dyDescent="0.3">
      <c r="G1132" s="6" t="s">
        <v>19</v>
      </c>
      <c r="H1132" s="6" t="s">
        <v>77</v>
      </c>
      <c r="N1132" s="6" t="s">
        <v>19</v>
      </c>
      <c r="O1132" s="6" t="s">
        <v>77</v>
      </c>
    </row>
    <row r="1133" spans="7:15" x14ac:dyDescent="0.3">
      <c r="G1133" s="7" t="s">
        <v>19</v>
      </c>
      <c r="H1133" s="7" t="s">
        <v>77</v>
      </c>
      <c r="N1133" s="7" t="s">
        <v>19</v>
      </c>
      <c r="O1133" s="7" t="s">
        <v>77</v>
      </c>
    </row>
    <row r="1134" spans="7:15" x14ac:dyDescent="0.3">
      <c r="G1134" s="6" t="s">
        <v>19</v>
      </c>
      <c r="H1134" s="6" t="s">
        <v>1116</v>
      </c>
      <c r="N1134" s="6" t="s">
        <v>19</v>
      </c>
      <c r="O1134" s="6" t="s">
        <v>1116</v>
      </c>
    </row>
    <row r="1135" spans="7:15" x14ac:dyDescent="0.3">
      <c r="G1135" s="7" t="s">
        <v>19</v>
      </c>
      <c r="H1135" s="7" t="s">
        <v>108</v>
      </c>
      <c r="N1135" s="7" t="s">
        <v>19</v>
      </c>
      <c r="O1135" s="7" t="s">
        <v>108</v>
      </c>
    </row>
    <row r="1136" spans="7:15" x14ac:dyDescent="0.3">
      <c r="G1136" s="6" t="s">
        <v>19</v>
      </c>
      <c r="H1136" s="6" t="s">
        <v>115</v>
      </c>
      <c r="N1136" s="6" t="s">
        <v>19</v>
      </c>
      <c r="O1136" s="6" t="s">
        <v>115</v>
      </c>
    </row>
    <row r="1137" spans="7:15" x14ac:dyDescent="0.3">
      <c r="G1137" s="7" t="s">
        <v>19</v>
      </c>
      <c r="H1137" s="7" t="s">
        <v>115</v>
      </c>
      <c r="N1137" s="7" t="s">
        <v>19</v>
      </c>
      <c r="O1137" s="7" t="s">
        <v>115</v>
      </c>
    </row>
    <row r="1138" spans="7:15" x14ac:dyDescent="0.3">
      <c r="G1138" s="6" t="s">
        <v>19</v>
      </c>
      <c r="H1138" s="6" t="s">
        <v>28</v>
      </c>
      <c r="N1138" s="6" t="s">
        <v>19</v>
      </c>
      <c r="O1138" s="6" t="s">
        <v>28</v>
      </c>
    </row>
    <row r="1139" spans="7:15" x14ac:dyDescent="0.3">
      <c r="G1139" s="7" t="s">
        <v>19</v>
      </c>
      <c r="H1139" s="7" t="s">
        <v>28</v>
      </c>
      <c r="N1139" s="7" t="s">
        <v>19</v>
      </c>
      <c r="O1139" s="7" t="s">
        <v>28</v>
      </c>
    </row>
    <row r="1140" spans="7:15" x14ac:dyDescent="0.3">
      <c r="G1140" s="6" t="s">
        <v>19</v>
      </c>
      <c r="H1140" s="6" t="s">
        <v>587</v>
      </c>
      <c r="N1140" s="6" t="s">
        <v>19</v>
      </c>
      <c r="O1140" s="6" t="s">
        <v>587</v>
      </c>
    </row>
    <row r="1141" spans="7:15" x14ac:dyDescent="0.3">
      <c r="G1141" s="7" t="s">
        <v>19</v>
      </c>
      <c r="H1141" s="7" t="s">
        <v>147</v>
      </c>
      <c r="N1141" s="7" t="s">
        <v>19</v>
      </c>
      <c r="O1141" s="7" t="s">
        <v>147</v>
      </c>
    </row>
    <row r="1142" spans="7:15" x14ac:dyDescent="0.3">
      <c r="G1142" s="6" t="s">
        <v>19</v>
      </c>
      <c r="H1142" s="6" t="s">
        <v>33</v>
      </c>
      <c r="N1142" s="6" t="s">
        <v>19</v>
      </c>
      <c r="O1142" s="6" t="s">
        <v>33</v>
      </c>
    </row>
    <row r="1143" spans="7:15" x14ac:dyDescent="0.3">
      <c r="G1143" s="7" t="s">
        <v>19</v>
      </c>
      <c r="H1143" s="7" t="s">
        <v>33</v>
      </c>
      <c r="N1143" s="7" t="s">
        <v>19</v>
      </c>
      <c r="O1143" s="7" t="s">
        <v>33</v>
      </c>
    </row>
    <row r="1144" spans="7:15" x14ac:dyDescent="0.3">
      <c r="G1144" s="6" t="s">
        <v>19</v>
      </c>
      <c r="H1144" s="6" t="s">
        <v>33</v>
      </c>
      <c r="N1144" s="6" t="s">
        <v>19</v>
      </c>
      <c r="O1144" s="6" t="s">
        <v>33</v>
      </c>
    </row>
    <row r="1145" spans="7:15" x14ac:dyDescent="0.3">
      <c r="G1145" s="7" t="s">
        <v>19</v>
      </c>
      <c r="H1145" s="7" t="s">
        <v>33</v>
      </c>
      <c r="N1145" s="7" t="s">
        <v>19</v>
      </c>
      <c r="O1145" s="7" t="s">
        <v>33</v>
      </c>
    </row>
    <row r="1146" spans="7:15" x14ac:dyDescent="0.3">
      <c r="G1146" s="6" t="s">
        <v>19</v>
      </c>
      <c r="H1146" s="6" t="s">
        <v>33</v>
      </c>
      <c r="N1146" s="6" t="s">
        <v>19</v>
      </c>
      <c r="O1146" s="6" t="s">
        <v>33</v>
      </c>
    </row>
    <row r="1147" spans="7:15" x14ac:dyDescent="0.3">
      <c r="G1147" s="7" t="s">
        <v>19</v>
      </c>
      <c r="H1147" s="7" t="s">
        <v>33</v>
      </c>
      <c r="N1147" s="7" t="s">
        <v>19</v>
      </c>
      <c r="O1147" s="7" t="s">
        <v>33</v>
      </c>
    </row>
    <row r="1148" spans="7:15" x14ac:dyDescent="0.3">
      <c r="G1148" s="6" t="s">
        <v>19</v>
      </c>
      <c r="H1148" s="6" t="s">
        <v>33</v>
      </c>
      <c r="N1148" s="6" t="s">
        <v>19</v>
      </c>
      <c r="O1148" s="6" t="s">
        <v>33</v>
      </c>
    </row>
    <row r="1149" spans="7:15" x14ac:dyDescent="0.3">
      <c r="G1149" s="7" t="s">
        <v>19</v>
      </c>
      <c r="H1149" s="7" t="s">
        <v>33</v>
      </c>
      <c r="N1149" s="7" t="s">
        <v>19</v>
      </c>
      <c r="O1149" s="7" t="s">
        <v>33</v>
      </c>
    </row>
    <row r="1150" spans="7:15" x14ac:dyDescent="0.3">
      <c r="G1150" s="6" t="s">
        <v>19</v>
      </c>
      <c r="H1150" s="6" t="s">
        <v>33</v>
      </c>
      <c r="N1150" s="6" t="s">
        <v>19</v>
      </c>
      <c r="O1150" s="6" t="s">
        <v>33</v>
      </c>
    </row>
    <row r="1151" spans="7:15" x14ac:dyDescent="0.3">
      <c r="G1151" s="7" t="s">
        <v>19</v>
      </c>
      <c r="H1151" s="7" t="s">
        <v>33</v>
      </c>
      <c r="N1151" s="7" t="s">
        <v>19</v>
      </c>
      <c r="O1151" s="7" t="s">
        <v>33</v>
      </c>
    </row>
    <row r="1152" spans="7:15" x14ac:dyDescent="0.3">
      <c r="G1152" s="6" t="s">
        <v>19</v>
      </c>
      <c r="H1152" s="6" t="s">
        <v>33</v>
      </c>
      <c r="N1152" s="6" t="s">
        <v>19</v>
      </c>
      <c r="O1152" s="6" t="s">
        <v>33</v>
      </c>
    </row>
    <row r="1153" spans="7:15" x14ac:dyDescent="0.3">
      <c r="G1153" s="7" t="s">
        <v>19</v>
      </c>
      <c r="H1153" s="7" t="s">
        <v>186</v>
      </c>
      <c r="N1153" s="7" t="s">
        <v>19</v>
      </c>
      <c r="O1153" s="7" t="s">
        <v>186</v>
      </c>
    </row>
    <row r="1154" spans="7:15" x14ac:dyDescent="0.3">
      <c r="G1154" s="6" t="s">
        <v>19</v>
      </c>
      <c r="H1154" s="6" t="s">
        <v>55</v>
      </c>
      <c r="N1154" s="6" t="s">
        <v>19</v>
      </c>
      <c r="O1154" s="6" t="s">
        <v>55</v>
      </c>
    </row>
    <row r="1155" spans="7:15" x14ac:dyDescent="0.3">
      <c r="G1155" s="7" t="s">
        <v>19</v>
      </c>
      <c r="H1155" s="7" t="s">
        <v>55</v>
      </c>
      <c r="N1155" s="7" t="s">
        <v>19</v>
      </c>
      <c r="O1155" s="7" t="s">
        <v>55</v>
      </c>
    </row>
    <row r="1156" spans="7:15" x14ac:dyDescent="0.3">
      <c r="G1156" s="6" t="s">
        <v>19</v>
      </c>
      <c r="H1156" s="6" t="s">
        <v>55</v>
      </c>
      <c r="N1156" s="6" t="s">
        <v>19</v>
      </c>
      <c r="O1156" s="6" t="s">
        <v>55</v>
      </c>
    </row>
    <row r="1157" spans="7:15" x14ac:dyDescent="0.3">
      <c r="G1157" s="7" t="s">
        <v>19</v>
      </c>
      <c r="H1157" s="7" t="s">
        <v>62</v>
      </c>
      <c r="N1157" s="7" t="s">
        <v>19</v>
      </c>
      <c r="O1157" s="7" t="s">
        <v>62</v>
      </c>
    </row>
    <row r="1158" spans="7:15" x14ac:dyDescent="0.3">
      <c r="G1158" s="6" t="s">
        <v>19</v>
      </c>
      <c r="H1158" s="6" t="s">
        <v>62</v>
      </c>
      <c r="N1158" s="6" t="s">
        <v>19</v>
      </c>
      <c r="O1158" s="6" t="s">
        <v>62</v>
      </c>
    </row>
    <row r="1159" spans="7:15" x14ac:dyDescent="0.3">
      <c r="G1159" s="7" t="s">
        <v>19</v>
      </c>
      <c r="H1159" s="7" t="s">
        <v>103</v>
      </c>
      <c r="N1159" s="7" t="s">
        <v>19</v>
      </c>
      <c r="O1159" s="7" t="s">
        <v>103</v>
      </c>
    </row>
    <row r="1160" spans="7:15" x14ac:dyDescent="0.3">
      <c r="G1160" s="6" t="s">
        <v>19</v>
      </c>
      <c r="H1160" s="6" t="s">
        <v>103</v>
      </c>
      <c r="N1160" s="6" t="s">
        <v>19</v>
      </c>
      <c r="O1160" s="6" t="s">
        <v>103</v>
      </c>
    </row>
    <row r="1161" spans="7:15" x14ac:dyDescent="0.3">
      <c r="G1161" s="7" t="s">
        <v>19</v>
      </c>
      <c r="H1161" s="7" t="s">
        <v>77</v>
      </c>
      <c r="N1161" s="7" t="s">
        <v>19</v>
      </c>
      <c r="O1161" s="7" t="s">
        <v>77</v>
      </c>
    </row>
    <row r="1162" spans="7:15" x14ac:dyDescent="0.3">
      <c r="G1162" s="6" t="s">
        <v>19</v>
      </c>
      <c r="H1162" s="6" t="s">
        <v>77</v>
      </c>
      <c r="N1162" s="6" t="s">
        <v>19</v>
      </c>
      <c r="O1162" s="6" t="s">
        <v>77</v>
      </c>
    </row>
    <row r="1163" spans="7:15" x14ac:dyDescent="0.3">
      <c r="G1163" s="7" t="s">
        <v>19</v>
      </c>
      <c r="H1163" s="7" t="s">
        <v>113</v>
      </c>
      <c r="N1163" s="7" t="s">
        <v>19</v>
      </c>
      <c r="O1163" s="7" t="s">
        <v>113</v>
      </c>
    </row>
    <row r="1164" spans="7:15" x14ac:dyDescent="0.3">
      <c r="G1164" s="6" t="s">
        <v>19</v>
      </c>
      <c r="H1164" s="6" t="s">
        <v>997</v>
      </c>
      <c r="N1164" s="6" t="s">
        <v>19</v>
      </c>
      <c r="O1164" s="6" t="s">
        <v>997</v>
      </c>
    </row>
    <row r="1165" spans="7:15" x14ac:dyDescent="0.3">
      <c r="G1165" s="7" t="s">
        <v>19</v>
      </c>
      <c r="H1165" s="7" t="s">
        <v>82</v>
      </c>
      <c r="N1165" s="7" t="s">
        <v>19</v>
      </c>
      <c r="O1165" s="7" t="s">
        <v>82</v>
      </c>
    </row>
    <row r="1166" spans="7:15" x14ac:dyDescent="0.3">
      <c r="G1166" s="6" t="s">
        <v>19</v>
      </c>
      <c r="H1166" s="6" t="s">
        <v>115</v>
      </c>
      <c r="N1166" s="6" t="s">
        <v>19</v>
      </c>
      <c r="O1166" s="6" t="s">
        <v>115</v>
      </c>
    </row>
    <row r="1167" spans="7:15" x14ac:dyDescent="0.3">
      <c r="G1167" s="7" t="s">
        <v>19</v>
      </c>
      <c r="H1167" s="7" t="s">
        <v>115</v>
      </c>
      <c r="N1167" s="7" t="s">
        <v>19</v>
      </c>
      <c r="O1167" s="7" t="s">
        <v>115</v>
      </c>
    </row>
    <row r="1168" spans="7:15" x14ac:dyDescent="0.3">
      <c r="G1168" s="6" t="s">
        <v>19</v>
      </c>
      <c r="H1168" s="6" t="s">
        <v>641</v>
      </c>
      <c r="N1168" s="6" t="s">
        <v>19</v>
      </c>
      <c r="O1168" s="6" t="s">
        <v>641</v>
      </c>
    </row>
    <row r="1169" spans="7:15" x14ac:dyDescent="0.3">
      <c r="G1169" s="7" t="s">
        <v>19</v>
      </c>
      <c r="H1169" s="7" t="s">
        <v>147</v>
      </c>
      <c r="N1169" s="7" t="s">
        <v>19</v>
      </c>
      <c r="O1169" s="7" t="s">
        <v>147</v>
      </c>
    </row>
    <row r="1170" spans="7:15" x14ac:dyDescent="0.3">
      <c r="G1170" s="6" t="s">
        <v>19</v>
      </c>
      <c r="H1170" s="6" t="s">
        <v>334</v>
      </c>
      <c r="N1170" s="6" t="s">
        <v>19</v>
      </c>
      <c r="O1170" s="6" t="s">
        <v>334</v>
      </c>
    </row>
    <row r="1171" spans="7:15" x14ac:dyDescent="0.3">
      <c r="G1171" s="7" t="s">
        <v>19</v>
      </c>
      <c r="H1171" s="7" t="s">
        <v>33</v>
      </c>
      <c r="N1171" s="7" t="s">
        <v>19</v>
      </c>
      <c r="O1171" s="7" t="s">
        <v>33</v>
      </c>
    </row>
    <row r="1172" spans="7:15" x14ac:dyDescent="0.3">
      <c r="G1172" s="6" t="s">
        <v>19</v>
      </c>
      <c r="H1172" s="6" t="s">
        <v>33</v>
      </c>
      <c r="N1172" s="6" t="s">
        <v>19</v>
      </c>
      <c r="O1172" s="6" t="s">
        <v>33</v>
      </c>
    </row>
    <row r="1173" spans="7:15" x14ac:dyDescent="0.3">
      <c r="G1173" s="7" t="s">
        <v>19</v>
      </c>
      <c r="H1173" s="7" t="s">
        <v>33</v>
      </c>
      <c r="N1173" s="7" t="s">
        <v>19</v>
      </c>
      <c r="O1173" s="7" t="s">
        <v>33</v>
      </c>
    </row>
    <row r="1174" spans="7:15" x14ac:dyDescent="0.3">
      <c r="G1174" s="6" t="s">
        <v>19</v>
      </c>
      <c r="H1174" s="6" t="s">
        <v>33</v>
      </c>
      <c r="N1174" s="6" t="s">
        <v>19</v>
      </c>
      <c r="O1174" s="6" t="s">
        <v>33</v>
      </c>
    </row>
    <row r="1175" spans="7:15" x14ac:dyDescent="0.3">
      <c r="G1175" s="7" t="s">
        <v>19</v>
      </c>
      <c r="H1175" s="7" t="s">
        <v>33</v>
      </c>
      <c r="N1175" s="7" t="s">
        <v>19</v>
      </c>
      <c r="O1175" s="7" t="s">
        <v>33</v>
      </c>
    </row>
    <row r="1176" spans="7:15" x14ac:dyDescent="0.3">
      <c r="G1176" s="6" t="s">
        <v>19</v>
      </c>
      <c r="H1176" s="6" t="s">
        <v>186</v>
      </c>
      <c r="N1176" s="6" t="s">
        <v>19</v>
      </c>
      <c r="O1176" s="6" t="s">
        <v>186</v>
      </c>
    </row>
    <row r="1177" spans="7:15" x14ac:dyDescent="0.3">
      <c r="G1177" s="7" t="s">
        <v>19</v>
      </c>
      <c r="H1177" s="7" t="s">
        <v>55</v>
      </c>
      <c r="N1177" s="7" t="s">
        <v>19</v>
      </c>
      <c r="O1177" s="7" t="s">
        <v>55</v>
      </c>
    </row>
    <row r="1178" spans="7:15" x14ac:dyDescent="0.3">
      <c r="G1178" s="6" t="s">
        <v>19</v>
      </c>
      <c r="H1178" s="6" t="s">
        <v>55</v>
      </c>
      <c r="N1178" s="6" t="s">
        <v>19</v>
      </c>
      <c r="O1178" s="6" t="s">
        <v>55</v>
      </c>
    </row>
    <row r="1179" spans="7:15" x14ac:dyDescent="0.3">
      <c r="G1179" s="7" t="s">
        <v>19</v>
      </c>
      <c r="H1179" s="7" t="s">
        <v>342</v>
      </c>
      <c r="N1179" s="7" t="s">
        <v>19</v>
      </c>
      <c r="O1179" s="7" t="s">
        <v>342</v>
      </c>
    </row>
    <row r="1180" spans="7:15" x14ac:dyDescent="0.3">
      <c r="G1180" s="6" t="s">
        <v>19</v>
      </c>
      <c r="H1180" s="6" t="s">
        <v>62</v>
      </c>
      <c r="N1180" s="6" t="s">
        <v>19</v>
      </c>
      <c r="O1180" s="6" t="s">
        <v>62</v>
      </c>
    </row>
    <row r="1181" spans="7:15" x14ac:dyDescent="0.3">
      <c r="G1181" s="7" t="s">
        <v>19</v>
      </c>
      <c r="H1181" s="7" t="s">
        <v>62</v>
      </c>
      <c r="N1181" s="7" t="s">
        <v>19</v>
      </c>
      <c r="O1181" s="7" t="s">
        <v>62</v>
      </c>
    </row>
    <row r="1182" spans="7:15" x14ac:dyDescent="0.3">
      <c r="G1182" s="6" t="s">
        <v>19</v>
      </c>
      <c r="H1182" s="6" t="s">
        <v>62</v>
      </c>
      <c r="N1182" s="6" t="s">
        <v>19</v>
      </c>
      <c r="O1182" s="6" t="s">
        <v>62</v>
      </c>
    </row>
    <row r="1183" spans="7:15" x14ac:dyDescent="0.3">
      <c r="G1183" s="7" t="s">
        <v>19</v>
      </c>
      <c r="H1183" s="7" t="s">
        <v>62</v>
      </c>
      <c r="N1183" s="7" t="s">
        <v>19</v>
      </c>
      <c r="O1183" s="7" t="s">
        <v>62</v>
      </c>
    </row>
    <row r="1184" spans="7:15" x14ac:dyDescent="0.3">
      <c r="G1184" s="6" t="s">
        <v>19</v>
      </c>
      <c r="H1184" s="6" t="s">
        <v>72</v>
      </c>
      <c r="N1184" s="6" t="s">
        <v>19</v>
      </c>
      <c r="O1184" s="6" t="s">
        <v>72</v>
      </c>
    </row>
    <row r="1185" spans="7:15" x14ac:dyDescent="0.3">
      <c r="G1185" s="7" t="s">
        <v>19</v>
      </c>
      <c r="H1185" s="7" t="s">
        <v>72</v>
      </c>
      <c r="N1185" s="7" t="s">
        <v>19</v>
      </c>
      <c r="O1185" s="7" t="s">
        <v>72</v>
      </c>
    </row>
    <row r="1186" spans="7:15" x14ac:dyDescent="0.3">
      <c r="G1186" s="6" t="s">
        <v>19</v>
      </c>
      <c r="H1186" s="6" t="s">
        <v>77</v>
      </c>
      <c r="N1186" s="6" t="s">
        <v>19</v>
      </c>
      <c r="O1186" s="6" t="s">
        <v>77</v>
      </c>
    </row>
    <row r="1187" spans="7:15" x14ac:dyDescent="0.3">
      <c r="G1187" s="7" t="s">
        <v>19</v>
      </c>
      <c r="H1187" s="7" t="s">
        <v>77</v>
      </c>
      <c r="N1187" s="7" t="s">
        <v>19</v>
      </c>
      <c r="O1187" s="7" t="s">
        <v>77</v>
      </c>
    </row>
    <row r="1188" spans="7:15" x14ac:dyDescent="0.3">
      <c r="G1188" s="6" t="s">
        <v>19</v>
      </c>
      <c r="H1188" s="6" t="s">
        <v>1116</v>
      </c>
      <c r="N1188" s="6" t="s">
        <v>19</v>
      </c>
      <c r="O1188" s="6" t="s">
        <v>1116</v>
      </c>
    </row>
    <row r="1189" spans="7:15" x14ac:dyDescent="0.3">
      <c r="G1189" s="7" t="s">
        <v>19</v>
      </c>
      <c r="H1189" s="7" t="s">
        <v>115</v>
      </c>
      <c r="N1189" s="7" t="s">
        <v>19</v>
      </c>
      <c r="O1189" s="7" t="s">
        <v>115</v>
      </c>
    </row>
    <row r="1190" spans="7:15" x14ac:dyDescent="0.3">
      <c r="G1190" s="6" t="s">
        <v>19</v>
      </c>
      <c r="H1190" s="6" t="s">
        <v>115</v>
      </c>
      <c r="N1190" s="6" t="s">
        <v>19</v>
      </c>
      <c r="O1190" s="6" t="s">
        <v>115</v>
      </c>
    </row>
    <row r="1191" spans="7:15" x14ac:dyDescent="0.3">
      <c r="G1191" s="7" t="s">
        <v>19</v>
      </c>
      <c r="H1191" s="7" t="s">
        <v>115</v>
      </c>
      <c r="N1191" s="7" t="s">
        <v>19</v>
      </c>
      <c r="O1191" s="7" t="s">
        <v>115</v>
      </c>
    </row>
    <row r="1192" spans="7:15" x14ac:dyDescent="0.3">
      <c r="G1192" s="6" t="s">
        <v>19</v>
      </c>
      <c r="H1192" s="6" t="s">
        <v>115</v>
      </c>
      <c r="N1192" s="6" t="s">
        <v>19</v>
      </c>
      <c r="O1192" s="6" t="s">
        <v>115</v>
      </c>
    </row>
    <row r="1193" spans="7:15" x14ac:dyDescent="0.3">
      <c r="G1193" s="7" t="s">
        <v>19</v>
      </c>
      <c r="H1193" s="7" t="s">
        <v>24</v>
      </c>
      <c r="N1193" s="7" t="s">
        <v>19</v>
      </c>
      <c r="O1193" s="7" t="s">
        <v>24</v>
      </c>
    </row>
    <row r="1194" spans="7:15" x14ac:dyDescent="0.3">
      <c r="G1194" s="6" t="s">
        <v>19</v>
      </c>
      <c r="H1194" s="6" t="s">
        <v>437</v>
      </c>
      <c r="N1194" s="6" t="s">
        <v>19</v>
      </c>
      <c r="O1194" s="6" t="s">
        <v>437</v>
      </c>
    </row>
    <row r="1195" spans="7:15" x14ac:dyDescent="0.3">
      <c r="G1195" s="7" t="s">
        <v>19</v>
      </c>
      <c r="H1195" s="7" t="s">
        <v>331</v>
      </c>
      <c r="N1195" s="7" t="s">
        <v>19</v>
      </c>
      <c r="O1195" s="7" t="s">
        <v>331</v>
      </c>
    </row>
    <row r="1196" spans="7:15" x14ac:dyDescent="0.3">
      <c r="G1196" s="6" t="s">
        <v>19</v>
      </c>
      <c r="H1196" s="6" t="s">
        <v>33</v>
      </c>
      <c r="N1196" s="6" t="s">
        <v>19</v>
      </c>
      <c r="O1196" s="6" t="s">
        <v>33</v>
      </c>
    </row>
    <row r="1197" spans="7:15" x14ac:dyDescent="0.3">
      <c r="G1197" s="7" t="s">
        <v>19</v>
      </c>
      <c r="H1197" s="7" t="s">
        <v>33</v>
      </c>
      <c r="N1197" s="7" t="s">
        <v>19</v>
      </c>
      <c r="O1197" s="7" t="s">
        <v>33</v>
      </c>
    </row>
    <row r="1198" spans="7:15" x14ac:dyDescent="0.3">
      <c r="G1198" s="6" t="s">
        <v>19</v>
      </c>
      <c r="H1198" s="6" t="s">
        <v>33</v>
      </c>
      <c r="N1198" s="6" t="s">
        <v>19</v>
      </c>
      <c r="O1198" s="6" t="s">
        <v>33</v>
      </c>
    </row>
    <row r="1199" spans="7:15" x14ac:dyDescent="0.3">
      <c r="G1199" s="7" t="s">
        <v>19</v>
      </c>
      <c r="H1199" s="7" t="s">
        <v>33</v>
      </c>
      <c r="N1199" s="7" t="s">
        <v>19</v>
      </c>
      <c r="O1199" s="7" t="s">
        <v>33</v>
      </c>
    </row>
    <row r="1200" spans="7:15" x14ac:dyDescent="0.3">
      <c r="G1200" s="6" t="s">
        <v>19</v>
      </c>
      <c r="H1200" s="6" t="s">
        <v>33</v>
      </c>
      <c r="N1200" s="6" t="s">
        <v>19</v>
      </c>
      <c r="O1200" s="6" t="s">
        <v>33</v>
      </c>
    </row>
    <row r="1201" spans="7:15" x14ac:dyDescent="0.3">
      <c r="G1201" s="7" t="s">
        <v>19</v>
      </c>
      <c r="H1201" s="7" t="s">
        <v>33</v>
      </c>
      <c r="N1201" s="7" t="s">
        <v>19</v>
      </c>
      <c r="O1201" s="7" t="s">
        <v>33</v>
      </c>
    </row>
    <row r="1202" spans="7:15" x14ac:dyDescent="0.3">
      <c r="G1202" s="6" t="s">
        <v>19</v>
      </c>
      <c r="H1202" s="6" t="s">
        <v>33</v>
      </c>
      <c r="N1202" s="6" t="s">
        <v>19</v>
      </c>
      <c r="O1202" s="6" t="s">
        <v>33</v>
      </c>
    </row>
    <row r="1203" spans="7:15" x14ac:dyDescent="0.3">
      <c r="G1203" s="7" t="s">
        <v>19</v>
      </c>
      <c r="H1203" s="7" t="s">
        <v>33</v>
      </c>
      <c r="N1203" s="7" t="s">
        <v>19</v>
      </c>
      <c r="O1203" s="7" t="s">
        <v>33</v>
      </c>
    </row>
    <row r="1204" spans="7:15" x14ac:dyDescent="0.3">
      <c r="G1204" s="6" t="s">
        <v>19</v>
      </c>
      <c r="H1204" s="6" t="s">
        <v>33</v>
      </c>
      <c r="N1204" s="6" t="s">
        <v>19</v>
      </c>
      <c r="O1204" s="6" t="s">
        <v>33</v>
      </c>
    </row>
    <row r="1205" spans="7:15" x14ac:dyDescent="0.3">
      <c r="G1205" s="7" t="s">
        <v>19</v>
      </c>
      <c r="H1205" s="7" t="s">
        <v>802</v>
      </c>
      <c r="N1205" s="7" t="s">
        <v>19</v>
      </c>
      <c r="O1205" s="7" t="s">
        <v>802</v>
      </c>
    </row>
    <row r="1206" spans="7:15" x14ac:dyDescent="0.3">
      <c r="G1206" s="6" t="s">
        <v>19</v>
      </c>
      <c r="H1206" s="6" t="s">
        <v>158</v>
      </c>
      <c r="N1206" s="6" t="s">
        <v>19</v>
      </c>
      <c r="O1206" s="6" t="s">
        <v>158</v>
      </c>
    </row>
    <row r="1207" spans="7:15" x14ac:dyDescent="0.3">
      <c r="G1207" s="7" t="s">
        <v>19</v>
      </c>
      <c r="H1207" s="7" t="s">
        <v>55</v>
      </c>
      <c r="N1207" s="7" t="s">
        <v>19</v>
      </c>
      <c r="O1207" s="7" t="s">
        <v>55</v>
      </c>
    </row>
    <row r="1208" spans="7:15" x14ac:dyDescent="0.3">
      <c r="G1208" s="6" t="s">
        <v>19</v>
      </c>
      <c r="H1208" s="6" t="s">
        <v>55</v>
      </c>
      <c r="N1208" s="6" t="s">
        <v>19</v>
      </c>
      <c r="O1208" s="6" t="s">
        <v>55</v>
      </c>
    </row>
    <row r="1209" spans="7:15" x14ac:dyDescent="0.3">
      <c r="G1209" s="7" t="s">
        <v>19</v>
      </c>
      <c r="H1209" s="7" t="s">
        <v>62</v>
      </c>
      <c r="N1209" s="7" t="s">
        <v>19</v>
      </c>
      <c r="O1209" s="7" t="s">
        <v>62</v>
      </c>
    </row>
    <row r="1210" spans="7:15" x14ac:dyDescent="0.3">
      <c r="G1210" s="6" t="s">
        <v>19</v>
      </c>
      <c r="H1210" s="6" t="s">
        <v>62</v>
      </c>
      <c r="N1210" s="6" t="s">
        <v>19</v>
      </c>
      <c r="O1210" s="6" t="s">
        <v>62</v>
      </c>
    </row>
    <row r="1211" spans="7:15" x14ac:dyDescent="0.3">
      <c r="G1211" s="7" t="s">
        <v>19</v>
      </c>
      <c r="H1211" s="7" t="s">
        <v>62</v>
      </c>
      <c r="N1211" s="7" t="s">
        <v>19</v>
      </c>
      <c r="O1211" s="7" t="s">
        <v>62</v>
      </c>
    </row>
    <row r="1212" spans="7:15" x14ac:dyDescent="0.3">
      <c r="G1212" s="6" t="s">
        <v>19</v>
      </c>
      <c r="H1212" s="6" t="s">
        <v>62</v>
      </c>
      <c r="N1212" s="6" t="s">
        <v>19</v>
      </c>
      <c r="O1212" s="6" t="s">
        <v>62</v>
      </c>
    </row>
    <row r="1213" spans="7:15" x14ac:dyDescent="0.3">
      <c r="G1213" s="7" t="s">
        <v>19</v>
      </c>
      <c r="H1213" s="7" t="s">
        <v>62</v>
      </c>
      <c r="N1213" s="7" t="s">
        <v>19</v>
      </c>
      <c r="O1213" s="7" t="s">
        <v>62</v>
      </c>
    </row>
    <row r="1214" spans="7:15" x14ac:dyDescent="0.3">
      <c r="G1214" s="6" t="s">
        <v>19</v>
      </c>
      <c r="H1214" s="6" t="s">
        <v>72</v>
      </c>
      <c r="N1214" s="6" t="s">
        <v>19</v>
      </c>
      <c r="O1214" s="6" t="s">
        <v>72</v>
      </c>
    </row>
    <row r="1215" spans="7:15" x14ac:dyDescent="0.3">
      <c r="G1215" s="7" t="s">
        <v>19</v>
      </c>
      <c r="H1215" s="7" t="s">
        <v>72</v>
      </c>
      <c r="N1215" s="7" t="s">
        <v>19</v>
      </c>
      <c r="O1215" s="7" t="s">
        <v>72</v>
      </c>
    </row>
    <row r="1216" spans="7:15" x14ac:dyDescent="0.3">
      <c r="G1216" s="6" t="s">
        <v>19</v>
      </c>
      <c r="H1216" s="6" t="s">
        <v>74</v>
      </c>
      <c r="N1216" s="6" t="s">
        <v>19</v>
      </c>
      <c r="O1216" s="6" t="s">
        <v>74</v>
      </c>
    </row>
    <row r="1217" spans="7:15" x14ac:dyDescent="0.3">
      <c r="G1217" s="7" t="s">
        <v>19</v>
      </c>
      <c r="H1217" s="7" t="s">
        <v>113</v>
      </c>
      <c r="N1217" s="7" t="s">
        <v>19</v>
      </c>
      <c r="O1217" s="7" t="s">
        <v>113</v>
      </c>
    </row>
    <row r="1218" spans="7:15" x14ac:dyDescent="0.3">
      <c r="G1218" s="6" t="s">
        <v>19</v>
      </c>
      <c r="H1218" s="6" t="s">
        <v>115</v>
      </c>
      <c r="N1218" s="6" t="s">
        <v>19</v>
      </c>
      <c r="O1218" s="6" t="s">
        <v>115</v>
      </c>
    </row>
    <row r="1219" spans="7:15" x14ac:dyDescent="0.3">
      <c r="G1219" s="7" t="s">
        <v>19</v>
      </c>
      <c r="H1219" s="7" t="s">
        <v>28</v>
      </c>
      <c r="N1219" s="7" t="s">
        <v>19</v>
      </c>
      <c r="O1219" s="7" t="s">
        <v>28</v>
      </c>
    </row>
    <row r="1220" spans="7:15" x14ac:dyDescent="0.3">
      <c r="G1220" s="6" t="s">
        <v>19</v>
      </c>
      <c r="H1220" s="6" t="s">
        <v>147</v>
      </c>
      <c r="N1220" s="6" t="s">
        <v>19</v>
      </c>
      <c r="O1220" s="6" t="s">
        <v>147</v>
      </c>
    </row>
    <row r="1221" spans="7:15" x14ac:dyDescent="0.3">
      <c r="G1221" s="7" t="s">
        <v>19</v>
      </c>
      <c r="H1221" s="7" t="s">
        <v>33</v>
      </c>
      <c r="N1221" s="7" t="s">
        <v>19</v>
      </c>
      <c r="O1221" s="7" t="s">
        <v>33</v>
      </c>
    </row>
    <row r="1222" spans="7:15" x14ac:dyDescent="0.3">
      <c r="G1222" s="6" t="s">
        <v>19</v>
      </c>
      <c r="H1222" s="6" t="s">
        <v>33</v>
      </c>
      <c r="N1222" s="6" t="s">
        <v>19</v>
      </c>
      <c r="O1222" s="6" t="s">
        <v>33</v>
      </c>
    </row>
    <row r="1223" spans="7:15" x14ac:dyDescent="0.3">
      <c r="G1223" s="7" t="s">
        <v>19</v>
      </c>
      <c r="H1223" s="7" t="s">
        <v>33</v>
      </c>
      <c r="N1223" s="7" t="s">
        <v>19</v>
      </c>
      <c r="O1223" s="7" t="s">
        <v>33</v>
      </c>
    </row>
    <row r="1224" spans="7:15" x14ac:dyDescent="0.3">
      <c r="G1224" s="6" t="s">
        <v>19</v>
      </c>
      <c r="H1224" s="6" t="s">
        <v>33</v>
      </c>
      <c r="N1224" s="6" t="s">
        <v>19</v>
      </c>
      <c r="O1224" s="6" t="s">
        <v>33</v>
      </c>
    </row>
    <row r="1225" spans="7:15" x14ac:dyDescent="0.3">
      <c r="G1225" s="7" t="s">
        <v>19</v>
      </c>
      <c r="H1225" s="7" t="s">
        <v>545</v>
      </c>
      <c r="N1225" s="7" t="s">
        <v>19</v>
      </c>
      <c r="O1225" s="7" t="s">
        <v>545</v>
      </c>
    </row>
    <row r="1226" spans="7:15" x14ac:dyDescent="0.3">
      <c r="G1226" s="6" t="s">
        <v>19</v>
      </c>
      <c r="H1226" s="6" t="s">
        <v>55</v>
      </c>
      <c r="N1226" s="6" t="s">
        <v>19</v>
      </c>
      <c r="O1226" s="6" t="s">
        <v>55</v>
      </c>
    </row>
    <row r="1227" spans="7:15" x14ac:dyDescent="0.3">
      <c r="G1227" s="7" t="s">
        <v>19</v>
      </c>
      <c r="H1227" s="7" t="s">
        <v>55</v>
      </c>
      <c r="N1227" s="7" t="s">
        <v>19</v>
      </c>
      <c r="O1227" s="7" t="s">
        <v>55</v>
      </c>
    </row>
    <row r="1228" spans="7:15" x14ac:dyDescent="0.3">
      <c r="G1228" s="6" t="s">
        <v>19</v>
      </c>
      <c r="H1228" s="6" t="s">
        <v>342</v>
      </c>
      <c r="N1228" s="6" t="s">
        <v>19</v>
      </c>
      <c r="O1228" s="6" t="s">
        <v>342</v>
      </c>
    </row>
    <row r="1229" spans="7:15" x14ac:dyDescent="0.3">
      <c r="G1229" s="7" t="s">
        <v>19</v>
      </c>
      <c r="H1229" s="7" t="s">
        <v>62</v>
      </c>
      <c r="N1229" s="7" t="s">
        <v>19</v>
      </c>
      <c r="O1229" s="7" t="s">
        <v>62</v>
      </c>
    </row>
    <row r="1230" spans="7:15" x14ac:dyDescent="0.3">
      <c r="G1230" s="6" t="s">
        <v>19</v>
      </c>
      <c r="H1230" s="6" t="s">
        <v>62</v>
      </c>
      <c r="N1230" s="6" t="s">
        <v>19</v>
      </c>
      <c r="O1230" s="6" t="s">
        <v>62</v>
      </c>
    </row>
    <row r="1231" spans="7:15" x14ac:dyDescent="0.3">
      <c r="G1231" s="7" t="s">
        <v>19</v>
      </c>
      <c r="H1231" s="7" t="s">
        <v>62</v>
      </c>
      <c r="N1231" s="7" t="s">
        <v>19</v>
      </c>
      <c r="O1231" s="7" t="s">
        <v>62</v>
      </c>
    </row>
    <row r="1232" spans="7:15" x14ac:dyDescent="0.3">
      <c r="G1232" s="6" t="s">
        <v>19</v>
      </c>
      <c r="H1232" s="6" t="s">
        <v>62</v>
      </c>
      <c r="N1232" s="6" t="s">
        <v>19</v>
      </c>
      <c r="O1232" s="6" t="s">
        <v>62</v>
      </c>
    </row>
    <row r="1233" spans="7:15" x14ac:dyDescent="0.3">
      <c r="G1233" s="7" t="s">
        <v>19</v>
      </c>
      <c r="H1233" s="7" t="s">
        <v>103</v>
      </c>
      <c r="N1233" s="7" t="s">
        <v>19</v>
      </c>
      <c r="O1233" s="7" t="s">
        <v>103</v>
      </c>
    </row>
    <row r="1234" spans="7:15" x14ac:dyDescent="0.3">
      <c r="G1234" s="6" t="s">
        <v>19</v>
      </c>
      <c r="H1234" s="6" t="s">
        <v>72</v>
      </c>
      <c r="N1234" s="6" t="s">
        <v>19</v>
      </c>
      <c r="O1234" s="6" t="s">
        <v>72</v>
      </c>
    </row>
    <row r="1235" spans="7:15" x14ac:dyDescent="0.3">
      <c r="G1235" s="7" t="s">
        <v>19</v>
      </c>
      <c r="H1235" s="7" t="s">
        <v>77</v>
      </c>
      <c r="N1235" s="7" t="s">
        <v>19</v>
      </c>
      <c r="O1235" s="7" t="s">
        <v>77</v>
      </c>
    </row>
    <row r="1236" spans="7:15" x14ac:dyDescent="0.3">
      <c r="G1236" s="6" t="s">
        <v>19</v>
      </c>
      <c r="H1236" s="6" t="s">
        <v>77</v>
      </c>
      <c r="N1236" s="6" t="s">
        <v>19</v>
      </c>
      <c r="O1236" s="6" t="s">
        <v>77</v>
      </c>
    </row>
    <row r="1237" spans="7:15" x14ac:dyDescent="0.3">
      <c r="G1237" s="7" t="s">
        <v>19</v>
      </c>
      <c r="H1237" s="7" t="s">
        <v>77</v>
      </c>
      <c r="N1237" s="7" t="s">
        <v>19</v>
      </c>
      <c r="O1237" s="7" t="s">
        <v>77</v>
      </c>
    </row>
    <row r="1238" spans="7:15" x14ac:dyDescent="0.3">
      <c r="G1238" s="6" t="s">
        <v>19</v>
      </c>
      <c r="H1238" s="6" t="s">
        <v>309</v>
      </c>
      <c r="N1238" s="6" t="s">
        <v>19</v>
      </c>
      <c r="O1238" s="6" t="s">
        <v>309</v>
      </c>
    </row>
    <row r="1239" spans="7:15" x14ac:dyDescent="0.3">
      <c r="G1239" s="7" t="s">
        <v>19</v>
      </c>
      <c r="H1239" s="7" t="s">
        <v>108</v>
      </c>
      <c r="N1239" s="7" t="s">
        <v>19</v>
      </c>
      <c r="O1239" s="7" t="s">
        <v>108</v>
      </c>
    </row>
    <row r="1240" spans="7:15" x14ac:dyDescent="0.3">
      <c r="G1240" s="6" t="s">
        <v>19</v>
      </c>
      <c r="H1240" s="6" t="s">
        <v>108</v>
      </c>
      <c r="N1240" s="6" t="s">
        <v>19</v>
      </c>
      <c r="O1240" s="6" t="s">
        <v>108</v>
      </c>
    </row>
    <row r="1241" spans="7:15" x14ac:dyDescent="0.3">
      <c r="G1241" s="7" t="s">
        <v>19</v>
      </c>
      <c r="H1241" s="7" t="s">
        <v>110</v>
      </c>
      <c r="N1241" s="7" t="s">
        <v>19</v>
      </c>
      <c r="O1241" s="7" t="s">
        <v>110</v>
      </c>
    </row>
    <row r="1242" spans="7:15" x14ac:dyDescent="0.3">
      <c r="G1242" s="6" t="s">
        <v>19</v>
      </c>
      <c r="H1242" s="6" t="s">
        <v>110</v>
      </c>
      <c r="N1242" s="6" t="s">
        <v>19</v>
      </c>
      <c r="O1242" s="6" t="s">
        <v>110</v>
      </c>
    </row>
    <row r="1243" spans="7:15" x14ac:dyDescent="0.3">
      <c r="G1243" s="7" t="s">
        <v>19</v>
      </c>
      <c r="H1243" s="7" t="s">
        <v>115</v>
      </c>
      <c r="N1243" s="7" t="s">
        <v>19</v>
      </c>
      <c r="O1243" s="7" t="s">
        <v>115</v>
      </c>
    </row>
    <row r="1244" spans="7:15" x14ac:dyDescent="0.3">
      <c r="G1244" s="6" t="s">
        <v>19</v>
      </c>
      <c r="H1244" s="6" t="s">
        <v>147</v>
      </c>
      <c r="N1244" s="6" t="s">
        <v>19</v>
      </c>
      <c r="O1244" s="6" t="s">
        <v>147</v>
      </c>
    </row>
    <row r="1245" spans="7:15" x14ac:dyDescent="0.3">
      <c r="G1245" s="7" t="s">
        <v>19</v>
      </c>
      <c r="H1245" s="7" t="s">
        <v>33</v>
      </c>
      <c r="N1245" s="7" t="s">
        <v>19</v>
      </c>
      <c r="O1245" s="7" t="s">
        <v>33</v>
      </c>
    </row>
    <row r="1246" spans="7:15" x14ac:dyDescent="0.3">
      <c r="G1246" s="6" t="s">
        <v>19</v>
      </c>
      <c r="H1246" s="6" t="s">
        <v>33</v>
      </c>
      <c r="N1246" s="6" t="s">
        <v>19</v>
      </c>
      <c r="O1246" s="6" t="s">
        <v>33</v>
      </c>
    </row>
    <row r="1247" spans="7:15" x14ac:dyDescent="0.3">
      <c r="G1247" s="7" t="s">
        <v>19</v>
      </c>
      <c r="H1247" s="7" t="s">
        <v>33</v>
      </c>
      <c r="N1247" s="7" t="s">
        <v>19</v>
      </c>
      <c r="O1247" s="7" t="s">
        <v>33</v>
      </c>
    </row>
    <row r="1248" spans="7:15" x14ac:dyDescent="0.3">
      <c r="G1248" s="6" t="s">
        <v>19</v>
      </c>
      <c r="H1248" s="6" t="s">
        <v>33</v>
      </c>
      <c r="N1248" s="6" t="s">
        <v>19</v>
      </c>
      <c r="O1248" s="6" t="s">
        <v>33</v>
      </c>
    </row>
    <row r="1249" spans="7:15" x14ac:dyDescent="0.3">
      <c r="G1249" s="7" t="s">
        <v>19</v>
      </c>
      <c r="H1249" s="7" t="s">
        <v>33</v>
      </c>
      <c r="N1249" s="7" t="s">
        <v>19</v>
      </c>
      <c r="O1249" s="7" t="s">
        <v>33</v>
      </c>
    </row>
    <row r="1250" spans="7:15" x14ac:dyDescent="0.3">
      <c r="G1250" s="6" t="s">
        <v>19</v>
      </c>
      <c r="H1250" s="6" t="s">
        <v>55</v>
      </c>
      <c r="N1250" s="6" t="s">
        <v>19</v>
      </c>
      <c r="O1250" s="6" t="s">
        <v>55</v>
      </c>
    </row>
    <row r="1251" spans="7:15" x14ac:dyDescent="0.3">
      <c r="G1251" s="7" t="s">
        <v>19</v>
      </c>
      <c r="H1251" s="7" t="s">
        <v>55</v>
      </c>
      <c r="N1251" s="7" t="s">
        <v>19</v>
      </c>
      <c r="O1251" s="7" t="s">
        <v>55</v>
      </c>
    </row>
    <row r="1252" spans="7:15" x14ac:dyDescent="0.3">
      <c r="G1252" s="6" t="s">
        <v>19</v>
      </c>
      <c r="H1252" s="6" t="s">
        <v>62</v>
      </c>
      <c r="N1252" s="6" t="s">
        <v>19</v>
      </c>
      <c r="O1252" s="6" t="s">
        <v>62</v>
      </c>
    </row>
    <row r="1253" spans="7:15" x14ac:dyDescent="0.3">
      <c r="G1253" s="7" t="s">
        <v>19</v>
      </c>
      <c r="H1253" s="7" t="s">
        <v>62</v>
      </c>
      <c r="N1253" s="7" t="s">
        <v>19</v>
      </c>
      <c r="O1253" s="7" t="s">
        <v>62</v>
      </c>
    </row>
    <row r="1254" spans="7:15" x14ac:dyDescent="0.3">
      <c r="G1254" s="6" t="s">
        <v>19</v>
      </c>
      <c r="H1254" s="6" t="s">
        <v>62</v>
      </c>
      <c r="N1254" s="6" t="s">
        <v>19</v>
      </c>
      <c r="O1254" s="6" t="s">
        <v>62</v>
      </c>
    </row>
    <row r="1255" spans="7:15" x14ac:dyDescent="0.3">
      <c r="G1255" s="7" t="s">
        <v>19</v>
      </c>
      <c r="H1255" s="7" t="s">
        <v>72</v>
      </c>
      <c r="N1255" s="7" t="s">
        <v>19</v>
      </c>
      <c r="O1255" s="7" t="s">
        <v>72</v>
      </c>
    </row>
    <row r="1256" spans="7:15" x14ac:dyDescent="0.3">
      <c r="G1256" s="6" t="s">
        <v>19</v>
      </c>
      <c r="H1256" s="6" t="s">
        <v>110</v>
      </c>
      <c r="N1256" s="6" t="s">
        <v>19</v>
      </c>
      <c r="O1256" s="6" t="s">
        <v>110</v>
      </c>
    </row>
    <row r="1257" spans="7:15" x14ac:dyDescent="0.3">
      <c r="G1257" s="7" t="s">
        <v>19</v>
      </c>
      <c r="H1257" s="7" t="s">
        <v>82</v>
      </c>
      <c r="N1257" s="7" t="s">
        <v>19</v>
      </c>
      <c r="O1257" s="7" t="s">
        <v>82</v>
      </c>
    </row>
    <row r="1258" spans="7:15" x14ac:dyDescent="0.3">
      <c r="G1258" s="6" t="s">
        <v>19</v>
      </c>
      <c r="H1258" s="6" t="s">
        <v>115</v>
      </c>
      <c r="N1258" s="6" t="s">
        <v>19</v>
      </c>
      <c r="O1258" s="6" t="s">
        <v>115</v>
      </c>
    </row>
    <row r="1259" spans="7:15" x14ac:dyDescent="0.3">
      <c r="G1259" s="7" t="s">
        <v>19</v>
      </c>
      <c r="H1259" s="7" t="s">
        <v>115</v>
      </c>
      <c r="N1259" s="7" t="s">
        <v>19</v>
      </c>
      <c r="O1259" s="7" t="s">
        <v>115</v>
      </c>
    </row>
    <row r="1260" spans="7:15" x14ac:dyDescent="0.3">
      <c r="G1260" s="6" t="s">
        <v>19</v>
      </c>
      <c r="H1260" s="6" t="s">
        <v>115</v>
      </c>
      <c r="N1260" s="6" t="s">
        <v>19</v>
      </c>
      <c r="O1260" s="6" t="s">
        <v>115</v>
      </c>
    </row>
    <row r="1261" spans="7:15" x14ac:dyDescent="0.3">
      <c r="G1261" s="7" t="s">
        <v>19</v>
      </c>
      <c r="H1261" s="7" t="s">
        <v>967</v>
      </c>
      <c r="N1261" s="7" t="s">
        <v>19</v>
      </c>
      <c r="O1261" s="7" t="s">
        <v>967</v>
      </c>
    </row>
    <row r="1262" spans="7:15" x14ac:dyDescent="0.3">
      <c r="G1262" s="6" t="s">
        <v>19</v>
      </c>
      <c r="H1262" s="6" t="s">
        <v>24</v>
      </c>
      <c r="N1262" s="6" t="s">
        <v>19</v>
      </c>
      <c r="O1262" s="6" t="s">
        <v>24</v>
      </c>
    </row>
    <row r="1263" spans="7:15" x14ac:dyDescent="0.3">
      <c r="G1263" s="7" t="s">
        <v>19</v>
      </c>
      <c r="H1263" s="7" t="s">
        <v>33</v>
      </c>
      <c r="N1263" s="7" t="s">
        <v>19</v>
      </c>
      <c r="O1263" s="7" t="s">
        <v>33</v>
      </c>
    </row>
    <row r="1264" spans="7:15" x14ac:dyDescent="0.3">
      <c r="G1264" s="6" t="s">
        <v>19</v>
      </c>
      <c r="H1264" s="6" t="s">
        <v>33</v>
      </c>
      <c r="N1264" s="6" t="s">
        <v>19</v>
      </c>
      <c r="O1264" s="6" t="s">
        <v>33</v>
      </c>
    </row>
    <row r="1265" spans="7:15" x14ac:dyDescent="0.3">
      <c r="G1265" s="7" t="s">
        <v>19</v>
      </c>
      <c r="H1265" s="7" t="s">
        <v>33</v>
      </c>
      <c r="N1265" s="7" t="s">
        <v>19</v>
      </c>
      <c r="O1265" s="7" t="s">
        <v>33</v>
      </c>
    </row>
    <row r="1266" spans="7:15" x14ac:dyDescent="0.3">
      <c r="G1266" s="6" t="s">
        <v>19</v>
      </c>
      <c r="H1266" s="6" t="s">
        <v>33</v>
      </c>
      <c r="N1266" s="6" t="s">
        <v>19</v>
      </c>
      <c r="O1266" s="6" t="s">
        <v>33</v>
      </c>
    </row>
    <row r="1267" spans="7:15" x14ac:dyDescent="0.3">
      <c r="G1267" s="7" t="s">
        <v>19</v>
      </c>
      <c r="H1267" s="7" t="s">
        <v>33</v>
      </c>
      <c r="N1267" s="7" t="s">
        <v>19</v>
      </c>
      <c r="O1267" s="7" t="s">
        <v>33</v>
      </c>
    </row>
    <row r="1268" spans="7:15" x14ac:dyDescent="0.3">
      <c r="G1268" s="6" t="s">
        <v>19</v>
      </c>
      <c r="H1268" s="6" t="s">
        <v>33</v>
      </c>
      <c r="N1268" s="6" t="s">
        <v>19</v>
      </c>
      <c r="O1268" s="6" t="s">
        <v>33</v>
      </c>
    </row>
    <row r="1269" spans="7:15" x14ac:dyDescent="0.3">
      <c r="G1269" s="7" t="s">
        <v>19</v>
      </c>
      <c r="H1269" s="7" t="s">
        <v>33</v>
      </c>
      <c r="N1269" s="7" t="s">
        <v>19</v>
      </c>
      <c r="O1269" s="7" t="s">
        <v>33</v>
      </c>
    </row>
    <row r="1270" spans="7:15" x14ac:dyDescent="0.3">
      <c r="G1270" s="6" t="s">
        <v>19</v>
      </c>
      <c r="H1270" s="6" t="s">
        <v>186</v>
      </c>
      <c r="N1270" s="6" t="s">
        <v>19</v>
      </c>
      <c r="O1270" s="6" t="s">
        <v>186</v>
      </c>
    </row>
    <row r="1271" spans="7:15" x14ac:dyDescent="0.3">
      <c r="G1271" s="7" t="s">
        <v>19</v>
      </c>
      <c r="H1271" s="7" t="s">
        <v>188</v>
      </c>
      <c r="N1271" s="7" t="s">
        <v>19</v>
      </c>
      <c r="O1271" s="7" t="s">
        <v>188</v>
      </c>
    </row>
    <row r="1272" spans="7:15" x14ac:dyDescent="0.3">
      <c r="G1272" s="6" t="s">
        <v>19</v>
      </c>
      <c r="H1272" s="6" t="s">
        <v>188</v>
      </c>
      <c r="N1272" s="6" t="s">
        <v>19</v>
      </c>
      <c r="O1272" s="6" t="s">
        <v>188</v>
      </c>
    </row>
    <row r="1273" spans="7:15" x14ac:dyDescent="0.3">
      <c r="G1273" s="7" t="s">
        <v>19</v>
      </c>
      <c r="H1273" s="7" t="s">
        <v>188</v>
      </c>
      <c r="N1273" s="7" t="s">
        <v>19</v>
      </c>
      <c r="O1273" s="7" t="s">
        <v>188</v>
      </c>
    </row>
    <row r="1274" spans="7:15" x14ac:dyDescent="0.3">
      <c r="G1274" s="6" t="s">
        <v>19</v>
      </c>
      <c r="H1274" s="6" t="s">
        <v>52</v>
      </c>
      <c r="N1274" s="6" t="s">
        <v>19</v>
      </c>
      <c r="O1274" s="6" t="s">
        <v>52</v>
      </c>
    </row>
    <row r="1275" spans="7:15" x14ac:dyDescent="0.3">
      <c r="G1275" s="7" t="s">
        <v>19</v>
      </c>
      <c r="H1275" s="7" t="s">
        <v>55</v>
      </c>
      <c r="N1275" s="7" t="s">
        <v>19</v>
      </c>
      <c r="O1275" s="7" t="s">
        <v>55</v>
      </c>
    </row>
    <row r="1276" spans="7:15" x14ac:dyDescent="0.3">
      <c r="G1276" s="6" t="s">
        <v>19</v>
      </c>
      <c r="H1276" s="6" t="s">
        <v>55</v>
      </c>
      <c r="N1276" s="6" t="s">
        <v>19</v>
      </c>
      <c r="O1276" s="6" t="s">
        <v>55</v>
      </c>
    </row>
    <row r="1277" spans="7:15" x14ac:dyDescent="0.3">
      <c r="G1277" s="7" t="s">
        <v>19</v>
      </c>
      <c r="H1277" s="7" t="s">
        <v>59</v>
      </c>
      <c r="N1277" s="7" t="s">
        <v>19</v>
      </c>
      <c r="O1277" s="7" t="s">
        <v>59</v>
      </c>
    </row>
    <row r="1278" spans="7:15" x14ac:dyDescent="0.3">
      <c r="G1278" s="6" t="s">
        <v>19</v>
      </c>
      <c r="H1278" s="6" t="s">
        <v>59</v>
      </c>
      <c r="N1278" s="6" t="s">
        <v>19</v>
      </c>
      <c r="O1278" s="6" t="s">
        <v>59</v>
      </c>
    </row>
    <row r="1279" spans="7:15" x14ac:dyDescent="0.3">
      <c r="G1279" s="7" t="s">
        <v>19</v>
      </c>
      <c r="H1279" s="7" t="s">
        <v>62</v>
      </c>
      <c r="N1279" s="7" t="s">
        <v>19</v>
      </c>
      <c r="O1279" s="7" t="s">
        <v>62</v>
      </c>
    </row>
    <row r="1280" spans="7:15" x14ac:dyDescent="0.3">
      <c r="G1280" s="6" t="s">
        <v>19</v>
      </c>
      <c r="H1280" s="6" t="s">
        <v>62</v>
      </c>
      <c r="N1280" s="6" t="s">
        <v>19</v>
      </c>
      <c r="O1280" s="6" t="s">
        <v>62</v>
      </c>
    </row>
    <row r="1281" spans="7:15" x14ac:dyDescent="0.3">
      <c r="G1281" s="7" t="s">
        <v>19</v>
      </c>
      <c r="H1281" s="7" t="s">
        <v>72</v>
      </c>
      <c r="N1281" s="7" t="s">
        <v>19</v>
      </c>
      <c r="O1281" s="7" t="s">
        <v>72</v>
      </c>
    </row>
    <row r="1282" spans="7:15" x14ac:dyDescent="0.3">
      <c r="G1282" s="6" t="s">
        <v>19</v>
      </c>
      <c r="H1282" s="6" t="s">
        <v>77</v>
      </c>
      <c r="N1282" s="6" t="s">
        <v>19</v>
      </c>
      <c r="O1282" s="6" t="s">
        <v>77</v>
      </c>
    </row>
    <row r="1283" spans="7:15" x14ac:dyDescent="0.3">
      <c r="G1283" s="7" t="s">
        <v>19</v>
      </c>
      <c r="H1283" s="7" t="s">
        <v>268</v>
      </c>
      <c r="N1283" s="7" t="s">
        <v>19</v>
      </c>
      <c r="O1283" s="7" t="s">
        <v>268</v>
      </c>
    </row>
    <row r="1284" spans="7:15" x14ac:dyDescent="0.3">
      <c r="G1284" s="6" t="s">
        <v>19</v>
      </c>
      <c r="H1284" s="6" t="s">
        <v>113</v>
      </c>
      <c r="N1284" s="6" t="s">
        <v>19</v>
      </c>
      <c r="O1284" s="6" t="s">
        <v>113</v>
      </c>
    </row>
    <row r="1285" spans="7:15" x14ac:dyDescent="0.3">
      <c r="G1285" s="7" t="s">
        <v>19</v>
      </c>
      <c r="H1285" s="7" t="s">
        <v>115</v>
      </c>
      <c r="N1285" s="7" t="s">
        <v>19</v>
      </c>
      <c r="O1285" s="7" t="s">
        <v>115</v>
      </c>
    </row>
    <row r="1286" spans="7:15" x14ac:dyDescent="0.3">
      <c r="G1286" s="6" t="s">
        <v>19</v>
      </c>
      <c r="H1286" s="6" t="s">
        <v>24</v>
      </c>
      <c r="N1286" s="6" t="s">
        <v>19</v>
      </c>
      <c r="O1286" s="6" t="s">
        <v>24</v>
      </c>
    </row>
    <row r="1287" spans="7:15" x14ac:dyDescent="0.3">
      <c r="G1287" s="7" t="s">
        <v>19</v>
      </c>
      <c r="H1287" s="7" t="s">
        <v>24</v>
      </c>
      <c r="N1287" s="7" t="s">
        <v>19</v>
      </c>
      <c r="O1287" s="7" t="s">
        <v>24</v>
      </c>
    </row>
    <row r="1288" spans="7:15" x14ac:dyDescent="0.3">
      <c r="G1288" s="6" t="s">
        <v>19</v>
      </c>
      <c r="H1288" s="6" t="s">
        <v>147</v>
      </c>
      <c r="N1288" s="6" t="s">
        <v>19</v>
      </c>
      <c r="O1288" s="6" t="s">
        <v>147</v>
      </c>
    </row>
    <row r="1289" spans="7:15" x14ac:dyDescent="0.3">
      <c r="G1289" s="7" t="s">
        <v>19</v>
      </c>
      <c r="H1289" s="7" t="s">
        <v>334</v>
      </c>
      <c r="N1289" s="7" t="s">
        <v>19</v>
      </c>
      <c r="O1289" s="7" t="s">
        <v>334</v>
      </c>
    </row>
    <row r="1290" spans="7:15" x14ac:dyDescent="0.3">
      <c r="G1290" s="6" t="s">
        <v>19</v>
      </c>
      <c r="H1290" s="6" t="s">
        <v>33</v>
      </c>
      <c r="N1290" s="6" t="s">
        <v>19</v>
      </c>
      <c r="O1290" s="6" t="s">
        <v>33</v>
      </c>
    </row>
    <row r="1291" spans="7:15" x14ac:dyDescent="0.3">
      <c r="G1291" s="7" t="s">
        <v>19</v>
      </c>
      <c r="H1291" s="7" t="s">
        <v>33</v>
      </c>
      <c r="N1291" s="7" t="s">
        <v>19</v>
      </c>
      <c r="O1291" s="7" t="s">
        <v>33</v>
      </c>
    </row>
    <row r="1292" spans="7:15" x14ac:dyDescent="0.3">
      <c r="G1292" s="6" t="s">
        <v>19</v>
      </c>
      <c r="H1292" s="6" t="s">
        <v>33</v>
      </c>
      <c r="N1292" s="6" t="s">
        <v>19</v>
      </c>
      <c r="O1292" s="6" t="s">
        <v>33</v>
      </c>
    </row>
    <row r="1293" spans="7:15" x14ac:dyDescent="0.3">
      <c r="G1293" s="7" t="s">
        <v>19</v>
      </c>
      <c r="H1293" s="7" t="s">
        <v>33</v>
      </c>
      <c r="N1293" s="7" t="s">
        <v>19</v>
      </c>
      <c r="O1293" s="7" t="s">
        <v>33</v>
      </c>
    </row>
    <row r="1294" spans="7:15" x14ac:dyDescent="0.3">
      <c r="G1294" s="6" t="s">
        <v>19</v>
      </c>
      <c r="H1294" s="6" t="s">
        <v>33</v>
      </c>
      <c r="N1294" s="6" t="s">
        <v>19</v>
      </c>
      <c r="O1294" s="6" t="s">
        <v>33</v>
      </c>
    </row>
    <row r="1295" spans="7:15" x14ac:dyDescent="0.3">
      <c r="G1295" s="7" t="s">
        <v>19</v>
      </c>
      <c r="H1295" s="7" t="s">
        <v>33</v>
      </c>
      <c r="N1295" s="7" t="s">
        <v>19</v>
      </c>
      <c r="O1295" s="7" t="s">
        <v>33</v>
      </c>
    </row>
    <row r="1296" spans="7:15" x14ac:dyDescent="0.3">
      <c r="G1296" s="6" t="s">
        <v>19</v>
      </c>
      <c r="H1296" s="6" t="s">
        <v>33</v>
      </c>
      <c r="N1296" s="6" t="s">
        <v>19</v>
      </c>
      <c r="O1296" s="6" t="s">
        <v>33</v>
      </c>
    </row>
    <row r="1297" spans="7:15" x14ac:dyDescent="0.3">
      <c r="G1297" s="7" t="s">
        <v>19</v>
      </c>
      <c r="H1297" s="7" t="s">
        <v>33</v>
      </c>
      <c r="N1297" s="7" t="s">
        <v>19</v>
      </c>
      <c r="O1297" s="7" t="s">
        <v>33</v>
      </c>
    </row>
    <row r="1298" spans="7:15" x14ac:dyDescent="0.3">
      <c r="G1298" s="6" t="s">
        <v>19</v>
      </c>
      <c r="H1298" s="6" t="s">
        <v>33</v>
      </c>
      <c r="N1298" s="6" t="s">
        <v>19</v>
      </c>
      <c r="O1298" s="6" t="s">
        <v>33</v>
      </c>
    </row>
    <row r="1299" spans="7:15" x14ac:dyDescent="0.3">
      <c r="G1299" s="7" t="s">
        <v>19</v>
      </c>
      <c r="H1299" s="7" t="s">
        <v>33</v>
      </c>
      <c r="N1299" s="7" t="s">
        <v>19</v>
      </c>
      <c r="O1299" s="7" t="s">
        <v>33</v>
      </c>
    </row>
    <row r="1300" spans="7:15" x14ac:dyDescent="0.3">
      <c r="G1300" s="6" t="s">
        <v>19</v>
      </c>
      <c r="H1300" s="6" t="s">
        <v>33</v>
      </c>
      <c r="N1300" s="6" t="s">
        <v>19</v>
      </c>
      <c r="O1300" s="6" t="s">
        <v>33</v>
      </c>
    </row>
    <row r="1301" spans="7:15" x14ac:dyDescent="0.3">
      <c r="G1301" s="7" t="s">
        <v>19</v>
      </c>
      <c r="H1301" s="7" t="s">
        <v>33</v>
      </c>
      <c r="N1301" s="7" t="s">
        <v>19</v>
      </c>
      <c r="O1301" s="7" t="s">
        <v>33</v>
      </c>
    </row>
    <row r="1302" spans="7:15" x14ac:dyDescent="0.3">
      <c r="G1302" s="6" t="s">
        <v>19</v>
      </c>
      <c r="H1302" s="6" t="s">
        <v>33</v>
      </c>
      <c r="N1302" s="6" t="s">
        <v>19</v>
      </c>
      <c r="O1302" s="6" t="s">
        <v>33</v>
      </c>
    </row>
    <row r="1303" spans="7:15" x14ac:dyDescent="0.3">
      <c r="G1303" s="7" t="s">
        <v>19</v>
      </c>
      <c r="H1303" s="7" t="s">
        <v>33</v>
      </c>
      <c r="N1303" s="7" t="s">
        <v>19</v>
      </c>
      <c r="O1303" s="7" t="s">
        <v>33</v>
      </c>
    </row>
    <row r="1304" spans="7:15" x14ac:dyDescent="0.3">
      <c r="G1304" s="6" t="s">
        <v>19</v>
      </c>
      <c r="H1304" s="6" t="s">
        <v>33</v>
      </c>
      <c r="N1304" s="6" t="s">
        <v>19</v>
      </c>
      <c r="O1304" s="6" t="s">
        <v>33</v>
      </c>
    </row>
    <row r="1305" spans="7:15" x14ac:dyDescent="0.3">
      <c r="G1305" s="7" t="s">
        <v>19</v>
      </c>
      <c r="H1305" s="7" t="s">
        <v>364</v>
      </c>
      <c r="N1305" s="7" t="s">
        <v>19</v>
      </c>
      <c r="O1305" s="7" t="s">
        <v>364</v>
      </c>
    </row>
    <row r="1306" spans="7:15" x14ac:dyDescent="0.3">
      <c r="G1306" s="6" t="s">
        <v>19</v>
      </c>
      <c r="H1306" s="6" t="s">
        <v>55</v>
      </c>
      <c r="N1306" s="6" t="s">
        <v>19</v>
      </c>
      <c r="O1306" s="6" t="s">
        <v>55</v>
      </c>
    </row>
    <row r="1307" spans="7:15" x14ac:dyDescent="0.3">
      <c r="G1307" s="7" t="s">
        <v>19</v>
      </c>
      <c r="H1307" s="7" t="s">
        <v>55</v>
      </c>
      <c r="N1307" s="7" t="s">
        <v>19</v>
      </c>
      <c r="O1307" s="7" t="s">
        <v>55</v>
      </c>
    </row>
    <row r="1308" spans="7:15" x14ac:dyDescent="0.3">
      <c r="G1308" s="6" t="s">
        <v>19</v>
      </c>
      <c r="H1308" s="6" t="s">
        <v>55</v>
      </c>
      <c r="N1308" s="6" t="s">
        <v>19</v>
      </c>
      <c r="O1308" s="6" t="s">
        <v>55</v>
      </c>
    </row>
    <row r="1309" spans="7:15" x14ac:dyDescent="0.3">
      <c r="G1309" s="7" t="s">
        <v>19</v>
      </c>
      <c r="H1309" s="7" t="s">
        <v>59</v>
      </c>
      <c r="N1309" s="7" t="s">
        <v>19</v>
      </c>
      <c r="O1309" s="7" t="s">
        <v>59</v>
      </c>
    </row>
    <row r="1310" spans="7:15" x14ac:dyDescent="0.3">
      <c r="G1310" s="6" t="s">
        <v>19</v>
      </c>
      <c r="H1310" s="6" t="s">
        <v>62</v>
      </c>
      <c r="N1310" s="6" t="s">
        <v>19</v>
      </c>
      <c r="O1310" s="6" t="s">
        <v>62</v>
      </c>
    </row>
    <row r="1311" spans="7:15" x14ac:dyDescent="0.3">
      <c r="G1311" s="7" t="s">
        <v>19</v>
      </c>
      <c r="H1311" s="7" t="s">
        <v>62</v>
      </c>
      <c r="N1311" s="7" t="s">
        <v>19</v>
      </c>
      <c r="O1311" s="7" t="s">
        <v>62</v>
      </c>
    </row>
    <row r="1312" spans="7:15" x14ac:dyDescent="0.3">
      <c r="G1312" s="6" t="s">
        <v>19</v>
      </c>
      <c r="H1312" s="6" t="s">
        <v>62</v>
      </c>
      <c r="N1312" s="6" t="s">
        <v>19</v>
      </c>
      <c r="O1312" s="6" t="s">
        <v>62</v>
      </c>
    </row>
    <row r="1313" spans="7:15" x14ac:dyDescent="0.3">
      <c r="G1313" s="7" t="s">
        <v>19</v>
      </c>
      <c r="H1313" s="7" t="s">
        <v>62</v>
      </c>
      <c r="N1313" s="7" t="s">
        <v>19</v>
      </c>
      <c r="O1313" s="7" t="s">
        <v>62</v>
      </c>
    </row>
    <row r="1314" spans="7:15" x14ac:dyDescent="0.3">
      <c r="G1314" s="6" t="s">
        <v>19</v>
      </c>
      <c r="H1314" s="6" t="s">
        <v>103</v>
      </c>
      <c r="N1314" s="6" t="s">
        <v>19</v>
      </c>
      <c r="O1314" s="6" t="s">
        <v>103</v>
      </c>
    </row>
    <row r="1315" spans="7:15" x14ac:dyDescent="0.3">
      <c r="G1315" s="7" t="s">
        <v>19</v>
      </c>
      <c r="H1315" s="7" t="s">
        <v>74</v>
      </c>
      <c r="N1315" s="7" t="s">
        <v>19</v>
      </c>
      <c r="O1315" s="7" t="s">
        <v>74</v>
      </c>
    </row>
    <row r="1316" spans="7:15" x14ac:dyDescent="0.3">
      <c r="G1316" s="6" t="s">
        <v>19</v>
      </c>
      <c r="H1316" s="6" t="s">
        <v>77</v>
      </c>
      <c r="N1316" s="6" t="s">
        <v>19</v>
      </c>
      <c r="O1316" s="6" t="s">
        <v>77</v>
      </c>
    </row>
    <row r="1317" spans="7:15" x14ac:dyDescent="0.3">
      <c r="G1317" s="7" t="s">
        <v>19</v>
      </c>
      <c r="H1317" s="7" t="s">
        <v>77</v>
      </c>
      <c r="N1317" s="7" t="s">
        <v>19</v>
      </c>
      <c r="O1317" s="7" t="s">
        <v>77</v>
      </c>
    </row>
    <row r="1318" spans="7:15" x14ac:dyDescent="0.3">
      <c r="G1318" s="6" t="s">
        <v>19</v>
      </c>
      <c r="H1318" s="6" t="s">
        <v>77</v>
      </c>
      <c r="N1318" s="6" t="s">
        <v>19</v>
      </c>
      <c r="O1318" s="6" t="s">
        <v>77</v>
      </c>
    </row>
    <row r="1319" spans="7:15" x14ac:dyDescent="0.3">
      <c r="G1319" s="7" t="s">
        <v>19</v>
      </c>
      <c r="H1319" s="7" t="s">
        <v>110</v>
      </c>
      <c r="N1319" s="7" t="s">
        <v>19</v>
      </c>
      <c r="O1319" s="7" t="s">
        <v>110</v>
      </c>
    </row>
    <row r="1320" spans="7:15" x14ac:dyDescent="0.3">
      <c r="G1320" s="6" t="s">
        <v>19</v>
      </c>
      <c r="H1320" s="6" t="s">
        <v>110</v>
      </c>
      <c r="N1320" s="6" t="s">
        <v>19</v>
      </c>
      <c r="O1320" s="6" t="s">
        <v>110</v>
      </c>
    </row>
    <row r="1321" spans="7:15" x14ac:dyDescent="0.3">
      <c r="G1321" s="7" t="s">
        <v>19</v>
      </c>
      <c r="H1321" s="7" t="s">
        <v>113</v>
      </c>
      <c r="N1321" s="7" t="s">
        <v>19</v>
      </c>
      <c r="O1321" s="7" t="s">
        <v>113</v>
      </c>
    </row>
    <row r="1322" spans="7:15" x14ac:dyDescent="0.3">
      <c r="G1322" s="6" t="s">
        <v>19</v>
      </c>
      <c r="H1322" s="6" t="s">
        <v>82</v>
      </c>
      <c r="N1322" s="6" t="s">
        <v>19</v>
      </c>
      <c r="O1322" s="6" t="s">
        <v>82</v>
      </c>
    </row>
    <row r="1323" spans="7:15" x14ac:dyDescent="0.3">
      <c r="G1323" s="7" t="s">
        <v>19</v>
      </c>
      <c r="H1323" s="7" t="s">
        <v>115</v>
      </c>
      <c r="N1323" s="7" t="s">
        <v>19</v>
      </c>
      <c r="O1323" s="7" t="s">
        <v>115</v>
      </c>
    </row>
    <row r="1324" spans="7:15" x14ac:dyDescent="0.3">
      <c r="G1324" s="6" t="s">
        <v>19</v>
      </c>
      <c r="H1324" s="6" t="s">
        <v>967</v>
      </c>
      <c r="N1324" s="6" t="s">
        <v>19</v>
      </c>
      <c r="O1324" s="6" t="s">
        <v>967</v>
      </c>
    </row>
    <row r="1325" spans="7:15" x14ac:dyDescent="0.3">
      <c r="G1325" s="7" t="s">
        <v>19</v>
      </c>
      <c r="H1325" s="7" t="s">
        <v>24</v>
      </c>
      <c r="N1325" s="7" t="s">
        <v>19</v>
      </c>
      <c r="O1325" s="7" t="s">
        <v>24</v>
      </c>
    </row>
    <row r="1326" spans="7:15" x14ac:dyDescent="0.3">
      <c r="G1326" s="6" t="s">
        <v>19</v>
      </c>
      <c r="H1326" s="6" t="s">
        <v>24</v>
      </c>
      <c r="N1326" s="6" t="s">
        <v>19</v>
      </c>
      <c r="O1326" s="6" t="s">
        <v>24</v>
      </c>
    </row>
    <row r="1327" spans="7:15" x14ac:dyDescent="0.3">
      <c r="G1327" s="7" t="s">
        <v>19</v>
      </c>
      <c r="H1327" s="7" t="s">
        <v>28</v>
      </c>
      <c r="N1327" s="7" t="s">
        <v>19</v>
      </c>
      <c r="O1327" s="7" t="s">
        <v>28</v>
      </c>
    </row>
    <row r="1328" spans="7:15" x14ac:dyDescent="0.3">
      <c r="G1328" s="6" t="s">
        <v>19</v>
      </c>
      <c r="H1328" s="6" t="s">
        <v>33</v>
      </c>
      <c r="N1328" s="6" t="s">
        <v>19</v>
      </c>
      <c r="O1328" s="6" t="s">
        <v>33</v>
      </c>
    </row>
    <row r="1329" spans="7:15" x14ac:dyDescent="0.3">
      <c r="G1329" s="7" t="s">
        <v>19</v>
      </c>
      <c r="H1329" s="7" t="s">
        <v>33</v>
      </c>
      <c r="N1329" s="7" t="s">
        <v>19</v>
      </c>
      <c r="O1329" s="7" t="s">
        <v>33</v>
      </c>
    </row>
    <row r="1330" spans="7:15" x14ac:dyDescent="0.3">
      <c r="G1330" s="6" t="s">
        <v>19</v>
      </c>
      <c r="H1330" s="6" t="s">
        <v>33</v>
      </c>
      <c r="N1330" s="6" t="s">
        <v>19</v>
      </c>
      <c r="O1330" s="6" t="s">
        <v>33</v>
      </c>
    </row>
    <row r="1331" spans="7:15" x14ac:dyDescent="0.3">
      <c r="G1331" s="7" t="s">
        <v>19</v>
      </c>
      <c r="H1331" s="7" t="s">
        <v>33</v>
      </c>
      <c r="N1331" s="7" t="s">
        <v>19</v>
      </c>
      <c r="O1331" s="7" t="s">
        <v>33</v>
      </c>
    </row>
    <row r="1332" spans="7:15" x14ac:dyDescent="0.3">
      <c r="G1332" s="6" t="s">
        <v>19</v>
      </c>
      <c r="H1332" s="6" t="s">
        <v>33</v>
      </c>
      <c r="N1332" s="6" t="s">
        <v>19</v>
      </c>
      <c r="O1332" s="6" t="s">
        <v>33</v>
      </c>
    </row>
    <row r="1333" spans="7:15" x14ac:dyDescent="0.3">
      <c r="G1333" s="7" t="s">
        <v>19</v>
      </c>
      <c r="H1333" s="7" t="s">
        <v>33</v>
      </c>
      <c r="N1333" s="7" t="s">
        <v>19</v>
      </c>
      <c r="O1333" s="7" t="s">
        <v>33</v>
      </c>
    </row>
    <row r="1334" spans="7:15" x14ac:dyDescent="0.3">
      <c r="G1334" s="6" t="s">
        <v>19</v>
      </c>
      <c r="H1334" s="6" t="s">
        <v>33</v>
      </c>
      <c r="N1334" s="6" t="s">
        <v>19</v>
      </c>
      <c r="O1334" s="6" t="s">
        <v>33</v>
      </c>
    </row>
    <row r="1335" spans="7:15" x14ac:dyDescent="0.3">
      <c r="G1335" s="7" t="s">
        <v>19</v>
      </c>
      <c r="H1335" s="7" t="s">
        <v>33</v>
      </c>
      <c r="N1335" s="7" t="s">
        <v>19</v>
      </c>
      <c r="O1335" s="7" t="s">
        <v>33</v>
      </c>
    </row>
    <row r="1336" spans="7:15" x14ac:dyDescent="0.3">
      <c r="G1336" s="6" t="s">
        <v>19</v>
      </c>
      <c r="H1336" s="6" t="s">
        <v>52</v>
      </c>
      <c r="N1336" s="6" t="s">
        <v>19</v>
      </c>
      <c r="O1336" s="6" t="s">
        <v>52</v>
      </c>
    </row>
    <row r="1337" spans="7:15" x14ac:dyDescent="0.3">
      <c r="G1337" s="7" t="s">
        <v>19</v>
      </c>
      <c r="H1337" s="7" t="s">
        <v>52</v>
      </c>
      <c r="N1337" s="7" t="s">
        <v>19</v>
      </c>
      <c r="O1337" s="7" t="s">
        <v>52</v>
      </c>
    </row>
    <row r="1338" spans="7:15" x14ac:dyDescent="0.3">
      <c r="G1338" s="6" t="s">
        <v>19</v>
      </c>
      <c r="H1338" s="6" t="s">
        <v>55</v>
      </c>
      <c r="N1338" s="6" t="s">
        <v>19</v>
      </c>
      <c r="O1338" s="6" t="s">
        <v>55</v>
      </c>
    </row>
    <row r="1339" spans="7:15" x14ac:dyDescent="0.3">
      <c r="G1339" s="7" t="s">
        <v>19</v>
      </c>
      <c r="H1339" s="7" t="s">
        <v>55</v>
      </c>
      <c r="N1339" s="7" t="s">
        <v>19</v>
      </c>
      <c r="O1339" s="7" t="s">
        <v>55</v>
      </c>
    </row>
    <row r="1340" spans="7:15" x14ac:dyDescent="0.3">
      <c r="G1340" s="6" t="s">
        <v>19</v>
      </c>
      <c r="H1340" s="6" t="s">
        <v>55</v>
      </c>
      <c r="N1340" s="6" t="s">
        <v>19</v>
      </c>
      <c r="O1340" s="6" t="s">
        <v>55</v>
      </c>
    </row>
    <row r="1341" spans="7:15" x14ac:dyDescent="0.3">
      <c r="G1341" s="7" t="s">
        <v>19</v>
      </c>
      <c r="H1341" s="7" t="s">
        <v>55</v>
      </c>
      <c r="N1341" s="7" t="s">
        <v>19</v>
      </c>
      <c r="O1341" s="7" t="s">
        <v>55</v>
      </c>
    </row>
    <row r="1342" spans="7:15" x14ac:dyDescent="0.3">
      <c r="G1342" s="6" t="s">
        <v>19</v>
      </c>
      <c r="H1342" s="6" t="s">
        <v>59</v>
      </c>
      <c r="N1342" s="6" t="s">
        <v>19</v>
      </c>
      <c r="O1342" s="6" t="s">
        <v>59</v>
      </c>
    </row>
    <row r="1343" spans="7:15" x14ac:dyDescent="0.3">
      <c r="G1343" s="7" t="s">
        <v>19</v>
      </c>
      <c r="H1343" s="7" t="s">
        <v>62</v>
      </c>
      <c r="N1343" s="7" t="s">
        <v>19</v>
      </c>
      <c r="O1343" s="7" t="s">
        <v>62</v>
      </c>
    </row>
    <row r="1344" spans="7:15" x14ac:dyDescent="0.3">
      <c r="G1344" s="6" t="s">
        <v>19</v>
      </c>
      <c r="H1344" s="6" t="s">
        <v>62</v>
      </c>
      <c r="N1344" s="6" t="s">
        <v>19</v>
      </c>
      <c r="O1344" s="6" t="s">
        <v>62</v>
      </c>
    </row>
    <row r="1345" spans="7:15" x14ac:dyDescent="0.3">
      <c r="G1345" s="7" t="s">
        <v>19</v>
      </c>
      <c r="H1345" s="7" t="s">
        <v>62</v>
      </c>
      <c r="N1345" s="7" t="s">
        <v>19</v>
      </c>
      <c r="O1345" s="7" t="s">
        <v>62</v>
      </c>
    </row>
    <row r="1346" spans="7:15" x14ac:dyDescent="0.3">
      <c r="G1346" s="6" t="s">
        <v>19</v>
      </c>
      <c r="H1346" s="6" t="s">
        <v>62</v>
      </c>
      <c r="N1346" s="6" t="s">
        <v>19</v>
      </c>
      <c r="O1346" s="6" t="s">
        <v>62</v>
      </c>
    </row>
    <row r="1347" spans="7:15" x14ac:dyDescent="0.3">
      <c r="G1347" s="7" t="s">
        <v>19</v>
      </c>
      <c r="H1347" s="7" t="s">
        <v>62</v>
      </c>
      <c r="N1347" s="7" t="s">
        <v>19</v>
      </c>
      <c r="O1347" s="7" t="s">
        <v>62</v>
      </c>
    </row>
    <row r="1348" spans="7:15" x14ac:dyDescent="0.3">
      <c r="G1348" s="6" t="s">
        <v>19</v>
      </c>
      <c r="H1348" s="6" t="s">
        <v>62</v>
      </c>
      <c r="N1348" s="6" t="s">
        <v>19</v>
      </c>
      <c r="O1348" s="6" t="s">
        <v>62</v>
      </c>
    </row>
    <row r="1349" spans="7:15" x14ac:dyDescent="0.3">
      <c r="G1349" s="7" t="s">
        <v>19</v>
      </c>
      <c r="H1349" s="7" t="s">
        <v>62</v>
      </c>
      <c r="N1349" s="7" t="s">
        <v>19</v>
      </c>
      <c r="O1349" s="7" t="s">
        <v>62</v>
      </c>
    </row>
    <row r="1350" spans="7:15" x14ac:dyDescent="0.3">
      <c r="G1350" s="6" t="s">
        <v>19</v>
      </c>
      <c r="H1350" s="6" t="s">
        <v>103</v>
      </c>
      <c r="N1350" s="6" t="s">
        <v>19</v>
      </c>
      <c r="O1350" s="6" t="s">
        <v>103</v>
      </c>
    </row>
    <row r="1351" spans="7:15" x14ac:dyDescent="0.3">
      <c r="G1351" s="7" t="s">
        <v>19</v>
      </c>
      <c r="H1351" s="7" t="s">
        <v>103</v>
      </c>
      <c r="N1351" s="7" t="s">
        <v>19</v>
      </c>
      <c r="O1351" s="7" t="s">
        <v>103</v>
      </c>
    </row>
    <row r="1352" spans="7:15" x14ac:dyDescent="0.3">
      <c r="G1352" s="6" t="s">
        <v>19</v>
      </c>
      <c r="H1352" s="6" t="s">
        <v>103</v>
      </c>
      <c r="N1352" s="6" t="s">
        <v>19</v>
      </c>
      <c r="O1352" s="6" t="s">
        <v>103</v>
      </c>
    </row>
    <row r="1353" spans="7:15" x14ac:dyDescent="0.3">
      <c r="G1353" s="7" t="s">
        <v>19</v>
      </c>
      <c r="H1353" s="7" t="s">
        <v>201</v>
      </c>
      <c r="N1353" s="7" t="s">
        <v>19</v>
      </c>
      <c r="O1353" s="7" t="s">
        <v>201</v>
      </c>
    </row>
    <row r="1354" spans="7:15" x14ac:dyDescent="0.3">
      <c r="G1354" s="6" t="s">
        <v>19</v>
      </c>
      <c r="H1354" s="6" t="s">
        <v>74</v>
      </c>
      <c r="N1354" s="6" t="s">
        <v>19</v>
      </c>
      <c r="O1354" s="6" t="s">
        <v>74</v>
      </c>
    </row>
    <row r="1355" spans="7:15" x14ac:dyDescent="0.3">
      <c r="G1355" s="7" t="s">
        <v>19</v>
      </c>
      <c r="H1355" s="7" t="s">
        <v>77</v>
      </c>
      <c r="N1355" s="7" t="s">
        <v>19</v>
      </c>
      <c r="O1355" s="7" t="s">
        <v>77</v>
      </c>
    </row>
    <row r="1356" spans="7:15" x14ac:dyDescent="0.3">
      <c r="G1356" s="6" t="s">
        <v>19</v>
      </c>
      <c r="H1356" s="6" t="s">
        <v>77</v>
      </c>
      <c r="N1356" s="6" t="s">
        <v>19</v>
      </c>
      <c r="O1356" s="6" t="s">
        <v>77</v>
      </c>
    </row>
    <row r="1357" spans="7:15" x14ac:dyDescent="0.3">
      <c r="G1357" s="7" t="s">
        <v>19</v>
      </c>
      <c r="H1357" s="7" t="s">
        <v>77</v>
      </c>
      <c r="N1357" s="7" t="s">
        <v>19</v>
      </c>
      <c r="O1357" s="7" t="s">
        <v>77</v>
      </c>
    </row>
    <row r="1358" spans="7:15" x14ac:dyDescent="0.3">
      <c r="G1358" s="6" t="s">
        <v>19</v>
      </c>
      <c r="H1358" s="6" t="s">
        <v>77</v>
      </c>
      <c r="N1358" s="6" t="s">
        <v>19</v>
      </c>
      <c r="O1358" s="6" t="s">
        <v>77</v>
      </c>
    </row>
    <row r="1359" spans="7:15" x14ac:dyDescent="0.3">
      <c r="G1359" s="7" t="s">
        <v>19</v>
      </c>
      <c r="H1359" s="7" t="s">
        <v>77</v>
      </c>
      <c r="N1359" s="7" t="s">
        <v>19</v>
      </c>
      <c r="O1359" s="7" t="s">
        <v>77</v>
      </c>
    </row>
    <row r="1360" spans="7:15" x14ac:dyDescent="0.3">
      <c r="G1360" s="6" t="s">
        <v>19</v>
      </c>
      <c r="H1360" s="6" t="s">
        <v>1116</v>
      </c>
      <c r="N1360" s="6" t="s">
        <v>19</v>
      </c>
      <c r="O1360" s="6" t="s">
        <v>1116</v>
      </c>
    </row>
    <row r="1361" spans="7:15" x14ac:dyDescent="0.3">
      <c r="G1361" s="7" t="s">
        <v>19</v>
      </c>
      <c r="H1361" s="7" t="s">
        <v>268</v>
      </c>
      <c r="N1361" s="7" t="s">
        <v>19</v>
      </c>
      <c r="O1361" s="7" t="s">
        <v>268</v>
      </c>
    </row>
    <row r="1362" spans="7:15" x14ac:dyDescent="0.3">
      <c r="G1362" s="6" t="s">
        <v>19</v>
      </c>
      <c r="H1362" s="6" t="s">
        <v>82</v>
      </c>
      <c r="N1362" s="6" t="s">
        <v>19</v>
      </c>
      <c r="O1362" s="6" t="s">
        <v>82</v>
      </c>
    </row>
    <row r="1363" spans="7:15" x14ac:dyDescent="0.3">
      <c r="G1363" s="7" t="s">
        <v>19</v>
      </c>
      <c r="H1363" s="7" t="s">
        <v>115</v>
      </c>
      <c r="N1363" s="7" t="s">
        <v>19</v>
      </c>
      <c r="O1363" s="7" t="s">
        <v>115</v>
      </c>
    </row>
    <row r="1364" spans="7:15" x14ac:dyDescent="0.3">
      <c r="G1364" s="6" t="s">
        <v>19</v>
      </c>
      <c r="H1364" s="6" t="s">
        <v>115</v>
      </c>
      <c r="N1364" s="6" t="s">
        <v>19</v>
      </c>
      <c r="O1364" s="6" t="s">
        <v>115</v>
      </c>
    </row>
    <row r="1365" spans="7:15" x14ac:dyDescent="0.3">
      <c r="G1365" s="7" t="s">
        <v>19</v>
      </c>
      <c r="H1365" s="7" t="s">
        <v>1383</v>
      </c>
      <c r="N1365" s="7" t="s">
        <v>19</v>
      </c>
      <c r="O1365" s="7" t="s">
        <v>1383</v>
      </c>
    </row>
    <row r="1366" spans="7:15" x14ac:dyDescent="0.3">
      <c r="G1366" s="6" t="s">
        <v>19</v>
      </c>
      <c r="H1366" s="6" t="s">
        <v>24</v>
      </c>
      <c r="N1366" s="6" t="s">
        <v>19</v>
      </c>
      <c r="O1366" s="6" t="s">
        <v>24</v>
      </c>
    </row>
    <row r="1367" spans="7:15" x14ac:dyDescent="0.3">
      <c r="G1367" s="7" t="s">
        <v>19</v>
      </c>
      <c r="H1367" s="7" t="s">
        <v>24</v>
      </c>
      <c r="N1367" s="7" t="s">
        <v>19</v>
      </c>
      <c r="O1367" s="7" t="s">
        <v>24</v>
      </c>
    </row>
    <row r="1368" spans="7:15" x14ac:dyDescent="0.3">
      <c r="G1368" s="6" t="s">
        <v>19</v>
      </c>
      <c r="H1368" s="6" t="s">
        <v>24</v>
      </c>
      <c r="N1368" s="6" t="s">
        <v>19</v>
      </c>
      <c r="O1368" s="6" t="s">
        <v>24</v>
      </c>
    </row>
    <row r="1369" spans="7:15" x14ac:dyDescent="0.3">
      <c r="G1369" s="7" t="s">
        <v>19</v>
      </c>
      <c r="H1369" s="7" t="s">
        <v>28</v>
      </c>
      <c r="N1369" s="7" t="s">
        <v>19</v>
      </c>
      <c r="O1369" s="7" t="s">
        <v>28</v>
      </c>
    </row>
    <row r="1370" spans="7:15" x14ac:dyDescent="0.3">
      <c r="G1370" s="6" t="s">
        <v>19</v>
      </c>
      <c r="H1370" s="6" t="s">
        <v>949</v>
      </c>
      <c r="N1370" s="6" t="s">
        <v>19</v>
      </c>
      <c r="O1370" s="6" t="s">
        <v>949</v>
      </c>
    </row>
    <row r="1371" spans="7:15" x14ac:dyDescent="0.3">
      <c r="G1371" s="7" t="s">
        <v>19</v>
      </c>
      <c r="H1371" s="7" t="s">
        <v>33</v>
      </c>
      <c r="N1371" s="7" t="s">
        <v>19</v>
      </c>
      <c r="O1371" s="7" t="s">
        <v>33</v>
      </c>
    </row>
    <row r="1372" spans="7:15" x14ac:dyDescent="0.3">
      <c r="G1372" s="6" t="s">
        <v>19</v>
      </c>
      <c r="H1372" s="6" t="s">
        <v>33</v>
      </c>
      <c r="N1372" s="6" t="s">
        <v>19</v>
      </c>
      <c r="O1372" s="6" t="s">
        <v>33</v>
      </c>
    </row>
    <row r="1373" spans="7:15" x14ac:dyDescent="0.3">
      <c r="G1373" s="7" t="s">
        <v>19</v>
      </c>
      <c r="H1373" s="7" t="s">
        <v>33</v>
      </c>
      <c r="N1373" s="7" t="s">
        <v>19</v>
      </c>
      <c r="O1373" s="7" t="s">
        <v>33</v>
      </c>
    </row>
    <row r="1374" spans="7:15" x14ac:dyDescent="0.3">
      <c r="G1374" s="6" t="s">
        <v>19</v>
      </c>
      <c r="H1374" s="6" t="s">
        <v>33</v>
      </c>
      <c r="N1374" s="6" t="s">
        <v>19</v>
      </c>
      <c r="O1374" s="6" t="s">
        <v>33</v>
      </c>
    </row>
    <row r="1375" spans="7:15" x14ac:dyDescent="0.3">
      <c r="G1375" s="7" t="s">
        <v>19</v>
      </c>
      <c r="H1375" s="7" t="s">
        <v>33</v>
      </c>
      <c r="N1375" s="7" t="s">
        <v>19</v>
      </c>
      <c r="O1375" s="7" t="s">
        <v>33</v>
      </c>
    </row>
    <row r="1376" spans="7:15" x14ac:dyDescent="0.3">
      <c r="G1376" s="6" t="s">
        <v>19</v>
      </c>
      <c r="H1376" s="6" t="s">
        <v>33</v>
      </c>
      <c r="N1376" s="6" t="s">
        <v>19</v>
      </c>
      <c r="O1376" s="6" t="s">
        <v>33</v>
      </c>
    </row>
    <row r="1377" spans="7:15" x14ac:dyDescent="0.3">
      <c r="G1377" s="7" t="s">
        <v>19</v>
      </c>
      <c r="H1377" s="7" t="s">
        <v>33</v>
      </c>
      <c r="N1377" s="7" t="s">
        <v>19</v>
      </c>
      <c r="O1377" s="7" t="s">
        <v>33</v>
      </c>
    </row>
    <row r="1378" spans="7:15" x14ac:dyDescent="0.3">
      <c r="G1378" s="6" t="s">
        <v>19</v>
      </c>
      <c r="H1378" s="6" t="s">
        <v>33</v>
      </c>
      <c r="N1378" s="6" t="s">
        <v>19</v>
      </c>
      <c r="O1378" s="6" t="s">
        <v>33</v>
      </c>
    </row>
    <row r="1379" spans="7:15" x14ac:dyDescent="0.3">
      <c r="G1379" s="7" t="s">
        <v>19</v>
      </c>
      <c r="H1379" s="7" t="s">
        <v>545</v>
      </c>
      <c r="N1379" s="7" t="s">
        <v>19</v>
      </c>
      <c r="O1379" s="7" t="s">
        <v>545</v>
      </c>
    </row>
    <row r="1380" spans="7:15" x14ac:dyDescent="0.3">
      <c r="G1380" s="6" t="s">
        <v>19</v>
      </c>
      <c r="H1380" s="6" t="s">
        <v>98</v>
      </c>
      <c r="N1380" s="6" t="s">
        <v>19</v>
      </c>
      <c r="O1380" s="6" t="s">
        <v>98</v>
      </c>
    </row>
    <row r="1381" spans="7:15" x14ac:dyDescent="0.3">
      <c r="G1381" s="7" t="s">
        <v>19</v>
      </c>
      <c r="H1381" s="7" t="s">
        <v>52</v>
      </c>
      <c r="N1381" s="7" t="s">
        <v>19</v>
      </c>
      <c r="O1381" s="7" t="s">
        <v>52</v>
      </c>
    </row>
    <row r="1382" spans="7:15" x14ac:dyDescent="0.3">
      <c r="G1382" s="6" t="s">
        <v>19</v>
      </c>
      <c r="H1382" s="6" t="s">
        <v>158</v>
      </c>
      <c r="N1382" s="6" t="s">
        <v>19</v>
      </c>
      <c r="O1382" s="6" t="s">
        <v>158</v>
      </c>
    </row>
    <row r="1383" spans="7:15" x14ac:dyDescent="0.3">
      <c r="G1383" s="7" t="s">
        <v>19</v>
      </c>
      <c r="H1383" s="7" t="s">
        <v>55</v>
      </c>
      <c r="N1383" s="7" t="s">
        <v>19</v>
      </c>
      <c r="O1383" s="7" t="s">
        <v>55</v>
      </c>
    </row>
    <row r="1384" spans="7:15" x14ac:dyDescent="0.3">
      <c r="G1384" s="6" t="s">
        <v>19</v>
      </c>
      <c r="H1384" s="6" t="s">
        <v>55</v>
      </c>
      <c r="N1384" s="6" t="s">
        <v>19</v>
      </c>
      <c r="O1384" s="6" t="s">
        <v>55</v>
      </c>
    </row>
    <row r="1385" spans="7:15" x14ac:dyDescent="0.3">
      <c r="G1385" s="7" t="s">
        <v>19</v>
      </c>
      <c r="H1385" s="7" t="s">
        <v>55</v>
      </c>
      <c r="N1385" s="7" t="s">
        <v>19</v>
      </c>
      <c r="O1385" s="7" t="s">
        <v>55</v>
      </c>
    </row>
    <row r="1386" spans="7:15" x14ac:dyDescent="0.3">
      <c r="G1386" s="6" t="s">
        <v>19</v>
      </c>
      <c r="H1386" s="6" t="s">
        <v>59</v>
      </c>
      <c r="N1386" s="6" t="s">
        <v>19</v>
      </c>
      <c r="O1386" s="6" t="s">
        <v>59</v>
      </c>
    </row>
    <row r="1387" spans="7:15" x14ac:dyDescent="0.3">
      <c r="G1387" s="7" t="s">
        <v>19</v>
      </c>
      <c r="H1387" s="7" t="s">
        <v>59</v>
      </c>
      <c r="N1387" s="7" t="s">
        <v>19</v>
      </c>
      <c r="O1387" s="7" t="s">
        <v>59</v>
      </c>
    </row>
    <row r="1388" spans="7:15" x14ac:dyDescent="0.3">
      <c r="G1388" s="6" t="s">
        <v>19</v>
      </c>
      <c r="H1388" s="6" t="s">
        <v>62</v>
      </c>
      <c r="N1388" s="6" t="s">
        <v>19</v>
      </c>
      <c r="O1388" s="6" t="s">
        <v>62</v>
      </c>
    </row>
    <row r="1389" spans="7:15" x14ac:dyDescent="0.3">
      <c r="G1389" s="7" t="s">
        <v>19</v>
      </c>
      <c r="H1389" s="7" t="s">
        <v>62</v>
      </c>
      <c r="N1389" s="7" t="s">
        <v>19</v>
      </c>
      <c r="O1389" s="7" t="s">
        <v>62</v>
      </c>
    </row>
    <row r="1390" spans="7:15" x14ac:dyDescent="0.3">
      <c r="G1390" s="6" t="s">
        <v>19</v>
      </c>
      <c r="H1390" s="6" t="s">
        <v>103</v>
      </c>
      <c r="N1390" s="6" t="s">
        <v>19</v>
      </c>
      <c r="O1390" s="6" t="s">
        <v>103</v>
      </c>
    </row>
    <row r="1391" spans="7:15" x14ac:dyDescent="0.3">
      <c r="G1391" s="7" t="s">
        <v>19</v>
      </c>
      <c r="H1391" s="7" t="s">
        <v>103</v>
      </c>
      <c r="N1391" s="7" t="s">
        <v>19</v>
      </c>
      <c r="O1391" s="7" t="s">
        <v>103</v>
      </c>
    </row>
    <row r="1392" spans="7:15" x14ac:dyDescent="0.3">
      <c r="G1392" s="6" t="s">
        <v>19</v>
      </c>
      <c r="H1392" s="6" t="s">
        <v>72</v>
      </c>
      <c r="N1392" s="6" t="s">
        <v>19</v>
      </c>
      <c r="O1392" s="6" t="s">
        <v>72</v>
      </c>
    </row>
    <row r="1393" spans="7:15" x14ac:dyDescent="0.3">
      <c r="G1393" s="7" t="s">
        <v>19</v>
      </c>
      <c r="H1393" s="7" t="s">
        <v>72</v>
      </c>
      <c r="N1393" s="7" t="s">
        <v>19</v>
      </c>
      <c r="O1393" s="7" t="s">
        <v>72</v>
      </c>
    </row>
    <row r="1394" spans="7:15" x14ac:dyDescent="0.3">
      <c r="G1394" s="6" t="s">
        <v>19</v>
      </c>
      <c r="H1394" s="6" t="s">
        <v>77</v>
      </c>
      <c r="N1394" s="6" t="s">
        <v>19</v>
      </c>
      <c r="O1394" s="6" t="s">
        <v>77</v>
      </c>
    </row>
    <row r="1395" spans="7:15" x14ac:dyDescent="0.3">
      <c r="G1395" s="7" t="s">
        <v>19</v>
      </c>
      <c r="H1395" s="7" t="s">
        <v>108</v>
      </c>
      <c r="N1395" s="7" t="s">
        <v>19</v>
      </c>
      <c r="O1395" s="7" t="s">
        <v>108</v>
      </c>
    </row>
    <row r="1396" spans="7:15" x14ac:dyDescent="0.3">
      <c r="G1396" s="6" t="s">
        <v>19</v>
      </c>
      <c r="H1396" s="6" t="s">
        <v>108</v>
      </c>
      <c r="N1396" s="6" t="s">
        <v>19</v>
      </c>
      <c r="O1396" s="6" t="s">
        <v>108</v>
      </c>
    </row>
    <row r="1397" spans="7:15" x14ac:dyDescent="0.3">
      <c r="G1397" s="7" t="s">
        <v>19</v>
      </c>
      <c r="H1397" s="7" t="s">
        <v>110</v>
      </c>
      <c r="N1397" s="7" t="s">
        <v>19</v>
      </c>
      <c r="O1397" s="7" t="s">
        <v>110</v>
      </c>
    </row>
    <row r="1398" spans="7:15" x14ac:dyDescent="0.3">
      <c r="G1398" s="6" t="s">
        <v>19</v>
      </c>
      <c r="H1398" s="6" t="s">
        <v>997</v>
      </c>
      <c r="N1398" s="6" t="s">
        <v>19</v>
      </c>
      <c r="O1398" s="6" t="s">
        <v>997</v>
      </c>
    </row>
    <row r="1399" spans="7:15" x14ac:dyDescent="0.3">
      <c r="G1399" s="7" t="s">
        <v>19</v>
      </c>
      <c r="H1399" s="7" t="s">
        <v>82</v>
      </c>
      <c r="N1399" s="7" t="s">
        <v>19</v>
      </c>
      <c r="O1399" s="7" t="s">
        <v>82</v>
      </c>
    </row>
    <row r="1400" spans="7:15" x14ac:dyDescent="0.3">
      <c r="G1400" s="6" t="s">
        <v>19</v>
      </c>
      <c r="H1400" s="6" t="s">
        <v>115</v>
      </c>
      <c r="N1400" s="6" t="s">
        <v>19</v>
      </c>
      <c r="O1400" s="6" t="s">
        <v>115</v>
      </c>
    </row>
    <row r="1401" spans="7:15" x14ac:dyDescent="0.3">
      <c r="G1401" s="7" t="s">
        <v>19</v>
      </c>
      <c r="H1401" s="7" t="s">
        <v>115</v>
      </c>
      <c r="N1401" s="7" t="s">
        <v>19</v>
      </c>
      <c r="O1401" s="7" t="s">
        <v>115</v>
      </c>
    </row>
    <row r="1402" spans="7:15" x14ac:dyDescent="0.3">
      <c r="G1402" s="6" t="s">
        <v>19</v>
      </c>
      <c r="H1402" s="6" t="s">
        <v>24</v>
      </c>
      <c r="N1402" s="6" t="s">
        <v>19</v>
      </c>
      <c r="O1402" s="6" t="s">
        <v>24</v>
      </c>
    </row>
    <row r="1403" spans="7:15" x14ac:dyDescent="0.3">
      <c r="G1403" s="7" t="s">
        <v>19</v>
      </c>
      <c r="H1403" s="7" t="s">
        <v>24</v>
      </c>
      <c r="N1403" s="7" t="s">
        <v>19</v>
      </c>
      <c r="O1403" s="7" t="s">
        <v>24</v>
      </c>
    </row>
    <row r="1404" spans="7:15" x14ac:dyDescent="0.3">
      <c r="G1404" s="6" t="s">
        <v>19</v>
      </c>
      <c r="H1404" s="6" t="s">
        <v>24</v>
      </c>
      <c r="N1404" s="6" t="s">
        <v>19</v>
      </c>
      <c r="O1404" s="6" t="s">
        <v>24</v>
      </c>
    </row>
    <row r="1405" spans="7:15" x14ac:dyDescent="0.3">
      <c r="G1405" s="7" t="s">
        <v>19</v>
      </c>
      <c r="H1405" s="7" t="s">
        <v>28</v>
      </c>
      <c r="N1405" s="7" t="s">
        <v>19</v>
      </c>
      <c r="O1405" s="7" t="s">
        <v>28</v>
      </c>
    </row>
    <row r="1406" spans="7:15" x14ac:dyDescent="0.3">
      <c r="G1406" s="6" t="s">
        <v>19</v>
      </c>
      <c r="H1406" s="6" t="s">
        <v>147</v>
      </c>
      <c r="N1406" s="6" t="s">
        <v>19</v>
      </c>
      <c r="O1406" s="6" t="s">
        <v>147</v>
      </c>
    </row>
    <row r="1407" spans="7:15" x14ac:dyDescent="0.3">
      <c r="G1407" s="7" t="s">
        <v>19</v>
      </c>
      <c r="H1407" s="7" t="s">
        <v>1426</v>
      </c>
      <c r="N1407" s="7" t="s">
        <v>19</v>
      </c>
      <c r="O1407" s="7" t="s">
        <v>1426</v>
      </c>
    </row>
    <row r="1408" spans="7:15" x14ac:dyDescent="0.3">
      <c r="G1408" s="6" t="s">
        <v>19</v>
      </c>
      <c r="H1408" s="6" t="s">
        <v>33</v>
      </c>
      <c r="N1408" s="6" t="s">
        <v>19</v>
      </c>
      <c r="O1408" s="6" t="s">
        <v>33</v>
      </c>
    </row>
    <row r="1409" spans="7:15" x14ac:dyDescent="0.3">
      <c r="G1409" s="7" t="s">
        <v>19</v>
      </c>
      <c r="H1409" s="7" t="s">
        <v>33</v>
      </c>
      <c r="N1409" s="7" t="s">
        <v>19</v>
      </c>
      <c r="O1409" s="7" t="s">
        <v>33</v>
      </c>
    </row>
    <row r="1410" spans="7:15" x14ac:dyDescent="0.3">
      <c r="G1410" s="6" t="s">
        <v>19</v>
      </c>
      <c r="H1410" s="6" t="s">
        <v>33</v>
      </c>
      <c r="N1410" s="6" t="s">
        <v>19</v>
      </c>
      <c r="O1410" s="6" t="s">
        <v>33</v>
      </c>
    </row>
    <row r="1411" spans="7:15" x14ac:dyDescent="0.3">
      <c r="G1411" s="7" t="s">
        <v>19</v>
      </c>
      <c r="H1411" s="7" t="s">
        <v>33</v>
      </c>
      <c r="N1411" s="7" t="s">
        <v>19</v>
      </c>
      <c r="O1411" s="7" t="s">
        <v>33</v>
      </c>
    </row>
    <row r="1412" spans="7:15" x14ac:dyDescent="0.3">
      <c r="G1412" s="6" t="s">
        <v>19</v>
      </c>
      <c r="H1412" s="6" t="s">
        <v>33</v>
      </c>
      <c r="N1412" s="6" t="s">
        <v>19</v>
      </c>
      <c r="O1412" s="6" t="s">
        <v>33</v>
      </c>
    </row>
    <row r="1413" spans="7:15" x14ac:dyDescent="0.3">
      <c r="G1413" s="7" t="s">
        <v>19</v>
      </c>
      <c r="H1413" s="7" t="s">
        <v>33</v>
      </c>
      <c r="N1413" s="7" t="s">
        <v>19</v>
      </c>
      <c r="O1413" s="7" t="s">
        <v>33</v>
      </c>
    </row>
    <row r="1414" spans="7:15" x14ac:dyDescent="0.3">
      <c r="G1414" s="6" t="s">
        <v>19</v>
      </c>
      <c r="H1414" s="6" t="s">
        <v>33</v>
      </c>
      <c r="N1414" s="6" t="s">
        <v>19</v>
      </c>
      <c r="O1414" s="6" t="s">
        <v>33</v>
      </c>
    </row>
    <row r="1415" spans="7:15" x14ac:dyDescent="0.3">
      <c r="G1415" s="7" t="s">
        <v>19</v>
      </c>
      <c r="H1415" s="7" t="s">
        <v>33</v>
      </c>
      <c r="N1415" s="7" t="s">
        <v>19</v>
      </c>
      <c r="O1415" s="7" t="s">
        <v>33</v>
      </c>
    </row>
    <row r="1416" spans="7:15" x14ac:dyDescent="0.3">
      <c r="G1416" s="6" t="s">
        <v>19</v>
      </c>
      <c r="H1416" s="6" t="s">
        <v>33</v>
      </c>
      <c r="N1416" s="6" t="s">
        <v>19</v>
      </c>
      <c r="O1416" s="6" t="s">
        <v>33</v>
      </c>
    </row>
    <row r="1417" spans="7:15" x14ac:dyDescent="0.3">
      <c r="G1417" s="7" t="s">
        <v>19</v>
      </c>
      <c r="H1417" s="7" t="s">
        <v>33</v>
      </c>
      <c r="N1417" s="7" t="s">
        <v>19</v>
      </c>
      <c r="O1417" s="7" t="s">
        <v>33</v>
      </c>
    </row>
    <row r="1418" spans="7:15" x14ac:dyDescent="0.3">
      <c r="G1418" s="6" t="s">
        <v>19</v>
      </c>
      <c r="H1418" s="6" t="s">
        <v>33</v>
      </c>
      <c r="N1418" s="6" t="s">
        <v>19</v>
      </c>
      <c r="O1418" s="6" t="s">
        <v>33</v>
      </c>
    </row>
    <row r="1419" spans="7:15" x14ac:dyDescent="0.3">
      <c r="G1419" s="7" t="s">
        <v>19</v>
      </c>
      <c r="H1419" s="7" t="s">
        <v>98</v>
      </c>
      <c r="N1419" s="7" t="s">
        <v>19</v>
      </c>
      <c r="O1419" s="7" t="s">
        <v>98</v>
      </c>
    </row>
    <row r="1420" spans="7:15" x14ac:dyDescent="0.3">
      <c r="G1420" s="6" t="s">
        <v>19</v>
      </c>
      <c r="H1420" s="6" t="s">
        <v>158</v>
      </c>
      <c r="N1420" s="6" t="s">
        <v>19</v>
      </c>
      <c r="O1420" s="6" t="s">
        <v>158</v>
      </c>
    </row>
    <row r="1421" spans="7:15" x14ac:dyDescent="0.3">
      <c r="G1421" s="7" t="s">
        <v>19</v>
      </c>
      <c r="H1421" s="7" t="s">
        <v>55</v>
      </c>
      <c r="N1421" s="7" t="s">
        <v>19</v>
      </c>
      <c r="O1421" s="7" t="s">
        <v>55</v>
      </c>
    </row>
    <row r="1422" spans="7:15" x14ac:dyDescent="0.3">
      <c r="G1422" s="6" t="s">
        <v>19</v>
      </c>
      <c r="H1422" s="6" t="s">
        <v>55</v>
      </c>
      <c r="N1422" s="6" t="s">
        <v>19</v>
      </c>
      <c r="O1422" s="6" t="s">
        <v>55</v>
      </c>
    </row>
    <row r="1423" spans="7:15" x14ac:dyDescent="0.3">
      <c r="G1423" s="7" t="s">
        <v>19</v>
      </c>
      <c r="H1423" s="7" t="s">
        <v>59</v>
      </c>
      <c r="N1423" s="7" t="s">
        <v>19</v>
      </c>
      <c r="O1423" s="7" t="s">
        <v>59</v>
      </c>
    </row>
    <row r="1424" spans="7:15" x14ac:dyDescent="0.3">
      <c r="G1424" s="6" t="s">
        <v>19</v>
      </c>
      <c r="H1424" s="6" t="s">
        <v>62</v>
      </c>
      <c r="N1424" s="6" t="s">
        <v>19</v>
      </c>
      <c r="O1424" s="6" t="s">
        <v>62</v>
      </c>
    </row>
    <row r="1425" spans="7:15" x14ac:dyDescent="0.3">
      <c r="G1425" s="7" t="s">
        <v>19</v>
      </c>
      <c r="H1425" s="7" t="s">
        <v>62</v>
      </c>
      <c r="N1425" s="7" t="s">
        <v>19</v>
      </c>
      <c r="O1425" s="7" t="s">
        <v>62</v>
      </c>
    </row>
    <row r="1426" spans="7:15" x14ac:dyDescent="0.3">
      <c r="G1426" s="6" t="s">
        <v>19</v>
      </c>
      <c r="H1426" s="6" t="s">
        <v>62</v>
      </c>
      <c r="N1426" s="6" t="s">
        <v>19</v>
      </c>
      <c r="O1426" s="6" t="s">
        <v>62</v>
      </c>
    </row>
    <row r="1427" spans="7:15" x14ac:dyDescent="0.3">
      <c r="G1427" s="7" t="s">
        <v>19</v>
      </c>
      <c r="H1427" s="7" t="s">
        <v>62</v>
      </c>
      <c r="N1427" s="7" t="s">
        <v>19</v>
      </c>
      <c r="O1427" s="7" t="s">
        <v>62</v>
      </c>
    </row>
    <row r="1428" spans="7:15" x14ac:dyDescent="0.3">
      <c r="G1428" s="6" t="s">
        <v>19</v>
      </c>
      <c r="H1428" s="6" t="s">
        <v>62</v>
      </c>
      <c r="N1428" s="6" t="s">
        <v>19</v>
      </c>
      <c r="O1428" s="6" t="s">
        <v>62</v>
      </c>
    </row>
    <row r="1429" spans="7:15" x14ac:dyDescent="0.3">
      <c r="G1429" s="7" t="s">
        <v>19</v>
      </c>
      <c r="H1429" s="7" t="s">
        <v>103</v>
      </c>
      <c r="N1429" s="7" t="s">
        <v>19</v>
      </c>
      <c r="O1429" s="7" t="s">
        <v>103</v>
      </c>
    </row>
    <row r="1430" spans="7:15" x14ac:dyDescent="0.3">
      <c r="G1430" s="6" t="s">
        <v>19</v>
      </c>
      <c r="H1430" s="6" t="s">
        <v>72</v>
      </c>
      <c r="N1430" s="6" t="s">
        <v>19</v>
      </c>
      <c r="O1430" s="6" t="s">
        <v>72</v>
      </c>
    </row>
    <row r="1431" spans="7:15" x14ac:dyDescent="0.3">
      <c r="G1431" s="7" t="s">
        <v>19</v>
      </c>
      <c r="H1431" s="7" t="s">
        <v>72</v>
      </c>
      <c r="N1431" s="7" t="s">
        <v>19</v>
      </c>
      <c r="O1431" s="7" t="s">
        <v>72</v>
      </c>
    </row>
    <row r="1432" spans="7:15" x14ac:dyDescent="0.3">
      <c r="G1432" s="6" t="s">
        <v>19</v>
      </c>
      <c r="H1432" s="6" t="s">
        <v>110</v>
      </c>
      <c r="N1432" s="6" t="s">
        <v>19</v>
      </c>
      <c r="O1432" s="6" t="s">
        <v>110</v>
      </c>
    </row>
    <row r="1433" spans="7:15" x14ac:dyDescent="0.3">
      <c r="G1433" s="7" t="s">
        <v>19</v>
      </c>
      <c r="H1433" s="7" t="s">
        <v>110</v>
      </c>
      <c r="N1433" s="7" t="s">
        <v>19</v>
      </c>
      <c r="O1433" s="7" t="s">
        <v>110</v>
      </c>
    </row>
    <row r="1434" spans="7:15" x14ac:dyDescent="0.3">
      <c r="G1434" s="6" t="s">
        <v>19</v>
      </c>
      <c r="H1434" s="6" t="s">
        <v>110</v>
      </c>
      <c r="N1434" s="6" t="s">
        <v>19</v>
      </c>
      <c r="O1434" s="6" t="s">
        <v>110</v>
      </c>
    </row>
    <row r="1435" spans="7:15" x14ac:dyDescent="0.3">
      <c r="G1435" s="7" t="s">
        <v>19</v>
      </c>
      <c r="H1435" s="7" t="s">
        <v>110</v>
      </c>
      <c r="N1435" s="7" t="s">
        <v>19</v>
      </c>
      <c r="O1435" s="7" t="s">
        <v>110</v>
      </c>
    </row>
    <row r="1436" spans="7:15" x14ac:dyDescent="0.3">
      <c r="G1436" s="6" t="s">
        <v>19</v>
      </c>
      <c r="H1436" s="6" t="s">
        <v>113</v>
      </c>
      <c r="N1436" s="6" t="s">
        <v>19</v>
      </c>
      <c r="O1436" s="6" t="s">
        <v>113</v>
      </c>
    </row>
    <row r="1437" spans="7:15" x14ac:dyDescent="0.3">
      <c r="G1437" s="7" t="s">
        <v>19</v>
      </c>
      <c r="H1437" s="7" t="s">
        <v>997</v>
      </c>
      <c r="N1437" s="7" t="s">
        <v>19</v>
      </c>
      <c r="O1437" s="7" t="s">
        <v>997</v>
      </c>
    </row>
    <row r="1438" spans="7:15" x14ac:dyDescent="0.3">
      <c r="G1438" s="6" t="s">
        <v>19</v>
      </c>
      <c r="H1438" s="6" t="s">
        <v>82</v>
      </c>
      <c r="N1438" s="6" t="s">
        <v>19</v>
      </c>
      <c r="O1438" s="6" t="s">
        <v>82</v>
      </c>
    </row>
    <row r="1439" spans="7:15" x14ac:dyDescent="0.3">
      <c r="G1439" s="7" t="s">
        <v>19</v>
      </c>
      <c r="H1439" s="7" t="s">
        <v>82</v>
      </c>
      <c r="N1439" s="7" t="s">
        <v>19</v>
      </c>
      <c r="O1439" s="7" t="s">
        <v>82</v>
      </c>
    </row>
    <row r="1440" spans="7:15" x14ac:dyDescent="0.3">
      <c r="G1440" s="6" t="s">
        <v>19</v>
      </c>
      <c r="H1440" s="6" t="s">
        <v>243</v>
      </c>
      <c r="N1440" s="6" t="s">
        <v>19</v>
      </c>
      <c r="O1440" s="6" t="s">
        <v>243</v>
      </c>
    </row>
    <row r="1441" spans="7:15" x14ac:dyDescent="0.3">
      <c r="G1441" s="7" t="s">
        <v>19</v>
      </c>
      <c r="H1441" s="7" t="s">
        <v>115</v>
      </c>
      <c r="N1441" s="7" t="s">
        <v>19</v>
      </c>
      <c r="O1441" s="7" t="s">
        <v>115</v>
      </c>
    </row>
    <row r="1442" spans="7:15" x14ac:dyDescent="0.3">
      <c r="G1442" s="6" t="s">
        <v>19</v>
      </c>
      <c r="H1442" s="6" t="s">
        <v>115</v>
      </c>
      <c r="N1442" s="6" t="s">
        <v>19</v>
      </c>
      <c r="O1442" s="6" t="s">
        <v>115</v>
      </c>
    </row>
    <row r="1443" spans="7:15" x14ac:dyDescent="0.3">
      <c r="G1443" s="7" t="s">
        <v>19</v>
      </c>
      <c r="H1443" s="7" t="s">
        <v>24</v>
      </c>
      <c r="N1443" s="7" t="s">
        <v>19</v>
      </c>
      <c r="O1443" s="7" t="s">
        <v>24</v>
      </c>
    </row>
    <row r="1444" spans="7:15" x14ac:dyDescent="0.3">
      <c r="G1444" s="6" t="s">
        <v>19</v>
      </c>
      <c r="H1444" s="6" t="s">
        <v>24</v>
      </c>
      <c r="N1444" s="6" t="s">
        <v>19</v>
      </c>
      <c r="O1444" s="6" t="s">
        <v>24</v>
      </c>
    </row>
    <row r="1445" spans="7:15" x14ac:dyDescent="0.3">
      <c r="G1445" s="7" t="s">
        <v>19</v>
      </c>
      <c r="H1445" s="7" t="s">
        <v>33</v>
      </c>
      <c r="N1445" s="7" t="s">
        <v>19</v>
      </c>
      <c r="O1445" s="7" t="s">
        <v>33</v>
      </c>
    </row>
    <row r="1446" spans="7:15" x14ac:dyDescent="0.3">
      <c r="G1446" s="6" t="s">
        <v>19</v>
      </c>
      <c r="H1446" s="6" t="s">
        <v>33</v>
      </c>
      <c r="N1446" s="6" t="s">
        <v>19</v>
      </c>
      <c r="O1446" s="6" t="s">
        <v>33</v>
      </c>
    </row>
    <row r="1447" spans="7:15" x14ac:dyDescent="0.3">
      <c r="G1447" s="7" t="s">
        <v>19</v>
      </c>
      <c r="H1447" s="7" t="s">
        <v>33</v>
      </c>
      <c r="N1447" s="7" t="s">
        <v>19</v>
      </c>
      <c r="O1447" s="7" t="s">
        <v>33</v>
      </c>
    </row>
    <row r="1448" spans="7:15" x14ac:dyDescent="0.3">
      <c r="G1448" s="6" t="s">
        <v>19</v>
      </c>
      <c r="H1448" s="6" t="s">
        <v>33</v>
      </c>
      <c r="N1448" s="6" t="s">
        <v>19</v>
      </c>
      <c r="O1448" s="6" t="s">
        <v>33</v>
      </c>
    </row>
    <row r="1449" spans="7:15" x14ac:dyDescent="0.3">
      <c r="G1449" s="7" t="s">
        <v>19</v>
      </c>
      <c r="H1449" s="7" t="s">
        <v>33</v>
      </c>
      <c r="N1449" s="7" t="s">
        <v>19</v>
      </c>
      <c r="O1449" s="7" t="s">
        <v>33</v>
      </c>
    </row>
    <row r="1450" spans="7:15" x14ac:dyDescent="0.3">
      <c r="G1450" s="6" t="s">
        <v>19</v>
      </c>
      <c r="H1450" s="6" t="s">
        <v>33</v>
      </c>
      <c r="N1450" s="6" t="s">
        <v>19</v>
      </c>
      <c r="O1450" s="6" t="s">
        <v>33</v>
      </c>
    </row>
    <row r="1451" spans="7:15" x14ac:dyDescent="0.3">
      <c r="G1451" s="7" t="s">
        <v>19</v>
      </c>
      <c r="H1451" s="7" t="s">
        <v>186</v>
      </c>
      <c r="N1451" s="7" t="s">
        <v>19</v>
      </c>
      <c r="O1451" s="7" t="s">
        <v>186</v>
      </c>
    </row>
    <row r="1452" spans="7:15" x14ac:dyDescent="0.3">
      <c r="G1452" s="6" t="s">
        <v>19</v>
      </c>
      <c r="H1452" s="6" t="s">
        <v>802</v>
      </c>
      <c r="N1452" s="6" t="s">
        <v>19</v>
      </c>
      <c r="O1452" s="6" t="s">
        <v>802</v>
      </c>
    </row>
    <row r="1453" spans="7:15" x14ac:dyDescent="0.3">
      <c r="G1453" s="7" t="s">
        <v>19</v>
      </c>
      <c r="H1453" s="7" t="s">
        <v>158</v>
      </c>
      <c r="N1453" s="7" t="s">
        <v>19</v>
      </c>
      <c r="O1453" s="7" t="s">
        <v>158</v>
      </c>
    </row>
    <row r="1454" spans="7:15" x14ac:dyDescent="0.3">
      <c r="G1454" s="6" t="s">
        <v>19</v>
      </c>
      <c r="H1454" s="6" t="s">
        <v>55</v>
      </c>
      <c r="N1454" s="6" t="s">
        <v>19</v>
      </c>
      <c r="O1454" s="6" t="s">
        <v>55</v>
      </c>
    </row>
    <row r="1455" spans="7:15" x14ac:dyDescent="0.3">
      <c r="G1455" s="7" t="s">
        <v>19</v>
      </c>
      <c r="H1455" s="7" t="s">
        <v>55</v>
      </c>
      <c r="N1455" s="7" t="s">
        <v>19</v>
      </c>
      <c r="O1455" s="7" t="s">
        <v>55</v>
      </c>
    </row>
    <row r="1456" spans="7:15" x14ac:dyDescent="0.3">
      <c r="G1456" s="6" t="s">
        <v>19</v>
      </c>
      <c r="H1456" s="6" t="s">
        <v>55</v>
      </c>
      <c r="N1456" s="6" t="s">
        <v>19</v>
      </c>
      <c r="O1456" s="6" t="s">
        <v>55</v>
      </c>
    </row>
    <row r="1457" spans="7:15" x14ac:dyDescent="0.3">
      <c r="G1457" s="7" t="s">
        <v>19</v>
      </c>
      <c r="H1457" s="7" t="s">
        <v>55</v>
      </c>
      <c r="N1457" s="7" t="s">
        <v>19</v>
      </c>
      <c r="O1457" s="7" t="s">
        <v>55</v>
      </c>
    </row>
    <row r="1458" spans="7:15" x14ac:dyDescent="0.3">
      <c r="G1458" s="6" t="s">
        <v>19</v>
      </c>
      <c r="H1458" s="6" t="s">
        <v>59</v>
      </c>
      <c r="N1458" s="6" t="s">
        <v>19</v>
      </c>
      <c r="O1458" s="6" t="s">
        <v>59</v>
      </c>
    </row>
    <row r="1459" spans="7:15" x14ac:dyDescent="0.3">
      <c r="G1459" s="7" t="s">
        <v>19</v>
      </c>
      <c r="H1459" s="7" t="s">
        <v>62</v>
      </c>
      <c r="N1459" s="7" t="s">
        <v>19</v>
      </c>
      <c r="O1459" s="7" t="s">
        <v>62</v>
      </c>
    </row>
    <row r="1460" spans="7:15" x14ac:dyDescent="0.3">
      <c r="G1460" s="6" t="s">
        <v>19</v>
      </c>
      <c r="H1460" s="6" t="s">
        <v>62</v>
      </c>
      <c r="N1460" s="6" t="s">
        <v>19</v>
      </c>
      <c r="O1460" s="6" t="s">
        <v>62</v>
      </c>
    </row>
    <row r="1461" spans="7:15" x14ac:dyDescent="0.3">
      <c r="G1461" s="7" t="s">
        <v>19</v>
      </c>
      <c r="H1461" s="7" t="s">
        <v>62</v>
      </c>
      <c r="N1461" s="7" t="s">
        <v>19</v>
      </c>
      <c r="O1461" s="7" t="s">
        <v>62</v>
      </c>
    </row>
    <row r="1462" spans="7:15" x14ac:dyDescent="0.3">
      <c r="G1462" s="6" t="s">
        <v>19</v>
      </c>
      <c r="H1462" s="6" t="s">
        <v>103</v>
      </c>
      <c r="N1462" s="6" t="s">
        <v>19</v>
      </c>
      <c r="O1462" s="6" t="s">
        <v>103</v>
      </c>
    </row>
    <row r="1463" spans="7:15" x14ac:dyDescent="0.3">
      <c r="G1463" s="7" t="s">
        <v>19</v>
      </c>
      <c r="H1463" s="7" t="s">
        <v>103</v>
      </c>
      <c r="N1463" s="7" t="s">
        <v>19</v>
      </c>
      <c r="O1463" s="7" t="s">
        <v>103</v>
      </c>
    </row>
    <row r="1464" spans="7:15" x14ac:dyDescent="0.3">
      <c r="G1464" s="6" t="s">
        <v>19</v>
      </c>
      <c r="H1464" s="6" t="s">
        <v>201</v>
      </c>
      <c r="N1464" s="6" t="s">
        <v>19</v>
      </c>
      <c r="O1464" s="6" t="s">
        <v>201</v>
      </c>
    </row>
    <row r="1465" spans="7:15" x14ac:dyDescent="0.3">
      <c r="G1465" s="7" t="s">
        <v>19</v>
      </c>
      <c r="H1465" s="7" t="s">
        <v>72</v>
      </c>
      <c r="N1465" s="7" t="s">
        <v>19</v>
      </c>
      <c r="O1465" s="7" t="s">
        <v>72</v>
      </c>
    </row>
    <row r="1466" spans="7:15" x14ac:dyDescent="0.3">
      <c r="G1466" s="6" t="s">
        <v>19</v>
      </c>
      <c r="H1466" s="6" t="s">
        <v>77</v>
      </c>
      <c r="N1466" s="6" t="s">
        <v>19</v>
      </c>
      <c r="O1466" s="6" t="s">
        <v>77</v>
      </c>
    </row>
    <row r="1467" spans="7:15" x14ac:dyDescent="0.3">
      <c r="G1467" s="7" t="s">
        <v>19</v>
      </c>
      <c r="H1467" s="7" t="s">
        <v>77</v>
      </c>
      <c r="N1467" s="7" t="s">
        <v>19</v>
      </c>
      <c r="O1467" s="7" t="s">
        <v>77</v>
      </c>
    </row>
    <row r="1468" spans="7:15" x14ac:dyDescent="0.3">
      <c r="G1468" s="6" t="s">
        <v>19</v>
      </c>
      <c r="H1468" s="6" t="s">
        <v>377</v>
      </c>
      <c r="N1468" s="6" t="s">
        <v>19</v>
      </c>
      <c r="O1468" s="6" t="s">
        <v>377</v>
      </c>
    </row>
    <row r="1469" spans="7:15" x14ac:dyDescent="0.3">
      <c r="G1469" s="7" t="s">
        <v>19</v>
      </c>
      <c r="H1469" s="7" t="s">
        <v>82</v>
      </c>
      <c r="N1469" s="7" t="s">
        <v>19</v>
      </c>
      <c r="O1469" s="7" t="s">
        <v>82</v>
      </c>
    </row>
    <row r="1470" spans="7:15" x14ac:dyDescent="0.3">
      <c r="G1470" s="6" t="s">
        <v>19</v>
      </c>
      <c r="H1470" s="6" t="s">
        <v>115</v>
      </c>
      <c r="N1470" s="6" t="s">
        <v>19</v>
      </c>
      <c r="O1470" s="6" t="s">
        <v>115</v>
      </c>
    </row>
    <row r="1471" spans="7:15" x14ac:dyDescent="0.3">
      <c r="G1471" s="7" t="s">
        <v>19</v>
      </c>
      <c r="H1471" s="7" t="s">
        <v>115</v>
      </c>
      <c r="N1471" s="7" t="s">
        <v>19</v>
      </c>
      <c r="O1471" s="7" t="s">
        <v>115</v>
      </c>
    </row>
    <row r="1472" spans="7:15" x14ac:dyDescent="0.3">
      <c r="G1472" s="6" t="s">
        <v>19</v>
      </c>
      <c r="H1472" s="6" t="s">
        <v>24</v>
      </c>
      <c r="N1472" s="6" t="s">
        <v>19</v>
      </c>
      <c r="O1472" s="6" t="s">
        <v>24</v>
      </c>
    </row>
    <row r="1473" spans="7:15" x14ac:dyDescent="0.3">
      <c r="G1473" s="7" t="s">
        <v>19</v>
      </c>
      <c r="H1473" s="7" t="s">
        <v>24</v>
      </c>
      <c r="N1473" s="7" t="s">
        <v>19</v>
      </c>
      <c r="O1473" s="7" t="s">
        <v>24</v>
      </c>
    </row>
    <row r="1474" spans="7:15" x14ac:dyDescent="0.3">
      <c r="G1474" s="6" t="s">
        <v>19</v>
      </c>
      <c r="H1474" s="6" t="s">
        <v>28</v>
      </c>
      <c r="N1474" s="6" t="s">
        <v>19</v>
      </c>
      <c r="O1474" s="6" t="s">
        <v>28</v>
      </c>
    </row>
    <row r="1475" spans="7:15" x14ac:dyDescent="0.3">
      <c r="G1475" s="7" t="s">
        <v>19</v>
      </c>
      <c r="H1475" s="7" t="s">
        <v>587</v>
      </c>
      <c r="N1475" s="7" t="s">
        <v>19</v>
      </c>
      <c r="O1475" s="7" t="s">
        <v>587</v>
      </c>
    </row>
    <row r="1476" spans="7:15" x14ac:dyDescent="0.3">
      <c r="G1476" s="6" t="s">
        <v>19</v>
      </c>
      <c r="H1476" s="6" t="s">
        <v>331</v>
      </c>
      <c r="N1476" s="6" t="s">
        <v>19</v>
      </c>
      <c r="O1476" s="6" t="s">
        <v>331</v>
      </c>
    </row>
    <row r="1477" spans="7:15" x14ac:dyDescent="0.3">
      <c r="G1477" s="7" t="s">
        <v>19</v>
      </c>
      <c r="H1477" s="7" t="s">
        <v>331</v>
      </c>
      <c r="N1477" s="7" t="s">
        <v>19</v>
      </c>
      <c r="O1477" s="7" t="s">
        <v>331</v>
      </c>
    </row>
    <row r="1478" spans="7:15" x14ac:dyDescent="0.3">
      <c r="G1478" s="6" t="s">
        <v>19</v>
      </c>
      <c r="H1478" s="6" t="s">
        <v>86</v>
      </c>
      <c r="N1478" s="6" t="s">
        <v>19</v>
      </c>
      <c r="O1478" s="6" t="s">
        <v>86</v>
      </c>
    </row>
    <row r="1479" spans="7:15" x14ac:dyDescent="0.3">
      <c r="G1479" s="7" t="s">
        <v>19</v>
      </c>
      <c r="H1479" s="7" t="s">
        <v>147</v>
      </c>
      <c r="N1479" s="7" t="s">
        <v>19</v>
      </c>
      <c r="O1479" s="7" t="s">
        <v>147</v>
      </c>
    </row>
    <row r="1480" spans="7:15" x14ac:dyDescent="0.3">
      <c r="G1480" s="6" t="s">
        <v>19</v>
      </c>
      <c r="H1480" s="6" t="s">
        <v>33</v>
      </c>
      <c r="N1480" s="6" t="s">
        <v>19</v>
      </c>
      <c r="O1480" s="6" t="s">
        <v>33</v>
      </c>
    </row>
    <row r="1481" spans="7:15" x14ac:dyDescent="0.3">
      <c r="G1481" s="7" t="s">
        <v>19</v>
      </c>
      <c r="H1481" s="7" t="s">
        <v>33</v>
      </c>
      <c r="N1481" s="7" t="s">
        <v>19</v>
      </c>
      <c r="O1481" s="7" t="s">
        <v>33</v>
      </c>
    </row>
    <row r="1482" spans="7:15" x14ac:dyDescent="0.3">
      <c r="G1482" s="6" t="s">
        <v>19</v>
      </c>
      <c r="H1482" s="6" t="s">
        <v>33</v>
      </c>
      <c r="N1482" s="6" t="s">
        <v>19</v>
      </c>
      <c r="O1482" s="6" t="s">
        <v>33</v>
      </c>
    </row>
    <row r="1483" spans="7:15" x14ac:dyDescent="0.3">
      <c r="G1483" s="7" t="s">
        <v>19</v>
      </c>
      <c r="H1483" s="7" t="s">
        <v>33</v>
      </c>
      <c r="N1483" s="7" t="s">
        <v>19</v>
      </c>
      <c r="O1483" s="7" t="s">
        <v>33</v>
      </c>
    </row>
    <row r="1484" spans="7:15" x14ac:dyDescent="0.3">
      <c r="G1484" s="6" t="s">
        <v>19</v>
      </c>
      <c r="H1484" s="6" t="s">
        <v>33</v>
      </c>
      <c r="N1484" s="6" t="s">
        <v>19</v>
      </c>
      <c r="O1484" s="6" t="s">
        <v>33</v>
      </c>
    </row>
    <row r="1485" spans="7:15" x14ac:dyDescent="0.3">
      <c r="G1485" s="7" t="s">
        <v>19</v>
      </c>
      <c r="H1485" s="7" t="s">
        <v>33</v>
      </c>
      <c r="N1485" s="7" t="s">
        <v>19</v>
      </c>
      <c r="O1485" s="7" t="s">
        <v>33</v>
      </c>
    </row>
    <row r="1486" spans="7:15" x14ac:dyDescent="0.3">
      <c r="G1486" s="6" t="s">
        <v>19</v>
      </c>
      <c r="H1486" s="6" t="s">
        <v>33</v>
      </c>
      <c r="N1486" s="6" t="s">
        <v>19</v>
      </c>
      <c r="O1486" s="6" t="s">
        <v>33</v>
      </c>
    </row>
    <row r="1487" spans="7:15" x14ac:dyDescent="0.3">
      <c r="G1487" s="7" t="s">
        <v>19</v>
      </c>
      <c r="H1487" s="7" t="s">
        <v>33</v>
      </c>
      <c r="N1487" s="7" t="s">
        <v>19</v>
      </c>
      <c r="O1487" s="7" t="s">
        <v>33</v>
      </c>
    </row>
    <row r="1488" spans="7:15" x14ac:dyDescent="0.3">
      <c r="G1488" s="6" t="s">
        <v>19</v>
      </c>
      <c r="H1488" s="6" t="s">
        <v>33</v>
      </c>
      <c r="N1488" s="6" t="s">
        <v>19</v>
      </c>
      <c r="O1488" s="6" t="s">
        <v>33</v>
      </c>
    </row>
    <row r="1489" spans="7:15" x14ac:dyDescent="0.3">
      <c r="G1489" s="7" t="s">
        <v>19</v>
      </c>
      <c r="H1489" s="7" t="s">
        <v>33</v>
      </c>
      <c r="N1489" s="7" t="s">
        <v>19</v>
      </c>
      <c r="O1489" s="7" t="s">
        <v>33</v>
      </c>
    </row>
    <row r="1490" spans="7:15" x14ac:dyDescent="0.3">
      <c r="G1490" s="6" t="s">
        <v>19</v>
      </c>
      <c r="H1490" s="6" t="s">
        <v>33</v>
      </c>
      <c r="N1490" s="6" t="s">
        <v>19</v>
      </c>
      <c r="O1490" s="6" t="s">
        <v>33</v>
      </c>
    </row>
    <row r="1491" spans="7:15" x14ac:dyDescent="0.3">
      <c r="G1491" s="7" t="s">
        <v>19</v>
      </c>
      <c r="H1491" s="7" t="s">
        <v>33</v>
      </c>
      <c r="N1491" s="7" t="s">
        <v>19</v>
      </c>
      <c r="O1491" s="7" t="s">
        <v>33</v>
      </c>
    </row>
    <row r="1492" spans="7:15" x14ac:dyDescent="0.3">
      <c r="G1492" s="6" t="s">
        <v>19</v>
      </c>
      <c r="H1492" s="6" t="s">
        <v>33</v>
      </c>
      <c r="N1492" s="6" t="s">
        <v>19</v>
      </c>
      <c r="O1492" s="6" t="s">
        <v>33</v>
      </c>
    </row>
    <row r="1493" spans="7:15" x14ac:dyDescent="0.3">
      <c r="G1493" s="7" t="s">
        <v>19</v>
      </c>
      <c r="H1493" s="7" t="s">
        <v>33</v>
      </c>
      <c r="N1493" s="7" t="s">
        <v>19</v>
      </c>
      <c r="O1493" s="7" t="s">
        <v>33</v>
      </c>
    </row>
    <row r="1494" spans="7:15" x14ac:dyDescent="0.3">
      <c r="G1494" s="6" t="s">
        <v>19</v>
      </c>
      <c r="H1494" s="6" t="s">
        <v>33</v>
      </c>
      <c r="N1494" s="6" t="s">
        <v>19</v>
      </c>
      <c r="O1494" s="6" t="s">
        <v>33</v>
      </c>
    </row>
    <row r="1495" spans="7:15" x14ac:dyDescent="0.3">
      <c r="G1495" s="7" t="s">
        <v>19</v>
      </c>
      <c r="H1495" s="7" t="s">
        <v>49</v>
      </c>
      <c r="N1495" s="7" t="s">
        <v>19</v>
      </c>
      <c r="O1495" s="7" t="s">
        <v>49</v>
      </c>
    </row>
    <row r="1496" spans="7:15" x14ac:dyDescent="0.3">
      <c r="G1496" s="6" t="s">
        <v>19</v>
      </c>
      <c r="H1496" s="6" t="s">
        <v>158</v>
      </c>
      <c r="N1496" s="6" t="s">
        <v>19</v>
      </c>
      <c r="O1496" s="6" t="s">
        <v>158</v>
      </c>
    </row>
    <row r="1497" spans="7:15" x14ac:dyDescent="0.3">
      <c r="G1497" s="7" t="s">
        <v>19</v>
      </c>
      <c r="H1497" s="7" t="s">
        <v>55</v>
      </c>
      <c r="N1497" s="7" t="s">
        <v>19</v>
      </c>
      <c r="O1497" s="7" t="s">
        <v>55</v>
      </c>
    </row>
    <row r="1498" spans="7:15" x14ac:dyDescent="0.3">
      <c r="G1498" s="6" t="s">
        <v>19</v>
      </c>
      <c r="H1498" s="6" t="s">
        <v>62</v>
      </c>
      <c r="N1498" s="6" t="s">
        <v>19</v>
      </c>
      <c r="O1498" s="6" t="s">
        <v>62</v>
      </c>
    </row>
    <row r="1499" spans="7:15" x14ac:dyDescent="0.3">
      <c r="G1499" s="7" t="s">
        <v>19</v>
      </c>
      <c r="H1499" s="7" t="s">
        <v>62</v>
      </c>
      <c r="N1499" s="7" t="s">
        <v>19</v>
      </c>
      <c r="O1499" s="7" t="s">
        <v>62</v>
      </c>
    </row>
    <row r="1500" spans="7:15" x14ac:dyDescent="0.3">
      <c r="G1500" s="6" t="s">
        <v>19</v>
      </c>
      <c r="H1500" s="6" t="s">
        <v>62</v>
      </c>
      <c r="N1500" s="6" t="s">
        <v>19</v>
      </c>
      <c r="O1500" s="6" t="s">
        <v>62</v>
      </c>
    </row>
    <row r="1501" spans="7:15" x14ac:dyDescent="0.3">
      <c r="G1501" s="7" t="s">
        <v>19</v>
      </c>
      <c r="H1501" s="7" t="s">
        <v>62</v>
      </c>
      <c r="N1501" s="7" t="s">
        <v>19</v>
      </c>
      <c r="O1501" s="7" t="s">
        <v>62</v>
      </c>
    </row>
    <row r="1502" spans="7:15" x14ac:dyDescent="0.3">
      <c r="G1502" s="6" t="s">
        <v>19</v>
      </c>
      <c r="H1502" s="6" t="s">
        <v>72</v>
      </c>
      <c r="N1502" s="6" t="s">
        <v>19</v>
      </c>
      <c r="O1502" s="6" t="s">
        <v>72</v>
      </c>
    </row>
    <row r="1503" spans="7:15" x14ac:dyDescent="0.3">
      <c r="G1503" s="7" t="s">
        <v>19</v>
      </c>
      <c r="H1503" s="7" t="s">
        <v>72</v>
      </c>
      <c r="N1503" s="7" t="s">
        <v>19</v>
      </c>
      <c r="O1503" s="7" t="s">
        <v>72</v>
      </c>
    </row>
    <row r="1504" spans="7:15" x14ac:dyDescent="0.3">
      <c r="G1504" s="6" t="s">
        <v>19</v>
      </c>
      <c r="H1504" s="6" t="s">
        <v>72</v>
      </c>
      <c r="N1504" s="6" t="s">
        <v>19</v>
      </c>
      <c r="O1504" s="6" t="s">
        <v>72</v>
      </c>
    </row>
    <row r="1505" spans="7:15" x14ac:dyDescent="0.3">
      <c r="G1505" s="7" t="s">
        <v>19</v>
      </c>
      <c r="H1505" s="7" t="s">
        <v>77</v>
      </c>
      <c r="N1505" s="7" t="s">
        <v>19</v>
      </c>
      <c r="O1505" s="7" t="s">
        <v>77</v>
      </c>
    </row>
    <row r="1506" spans="7:15" x14ac:dyDescent="0.3">
      <c r="G1506" s="6" t="s">
        <v>19</v>
      </c>
      <c r="H1506" s="6" t="s">
        <v>77</v>
      </c>
      <c r="N1506" s="6" t="s">
        <v>19</v>
      </c>
      <c r="O1506" s="6" t="s">
        <v>77</v>
      </c>
    </row>
    <row r="1507" spans="7:15" x14ac:dyDescent="0.3">
      <c r="G1507" s="7" t="s">
        <v>19</v>
      </c>
      <c r="H1507" s="7" t="s">
        <v>77</v>
      </c>
      <c r="N1507" s="7" t="s">
        <v>19</v>
      </c>
      <c r="O1507" s="7" t="s">
        <v>77</v>
      </c>
    </row>
    <row r="1508" spans="7:15" x14ac:dyDescent="0.3">
      <c r="G1508" s="6" t="s">
        <v>19</v>
      </c>
      <c r="H1508" s="6" t="s">
        <v>113</v>
      </c>
      <c r="N1508" s="6" t="s">
        <v>19</v>
      </c>
      <c r="O1508" s="6" t="s">
        <v>113</v>
      </c>
    </row>
    <row r="1509" spans="7:15" x14ac:dyDescent="0.3">
      <c r="G1509" s="7" t="s">
        <v>19</v>
      </c>
      <c r="H1509" s="7" t="s">
        <v>115</v>
      </c>
      <c r="N1509" s="7" t="s">
        <v>19</v>
      </c>
      <c r="O1509" s="7" t="s">
        <v>115</v>
      </c>
    </row>
    <row r="1510" spans="7:15" x14ac:dyDescent="0.3">
      <c r="G1510" s="6" t="s">
        <v>19</v>
      </c>
      <c r="H1510" s="6" t="s">
        <v>115</v>
      </c>
      <c r="N1510" s="6" t="s">
        <v>19</v>
      </c>
      <c r="O1510" s="6" t="s">
        <v>115</v>
      </c>
    </row>
    <row r="1511" spans="7:15" x14ac:dyDescent="0.3">
      <c r="G1511" s="7" t="s">
        <v>19</v>
      </c>
      <c r="H1511" s="7" t="s">
        <v>24</v>
      </c>
      <c r="N1511" s="7" t="s">
        <v>19</v>
      </c>
      <c r="O1511" s="7" t="s">
        <v>24</v>
      </c>
    </row>
    <row r="1512" spans="7:15" x14ac:dyDescent="0.3">
      <c r="G1512" s="6" t="s">
        <v>19</v>
      </c>
      <c r="H1512" s="6" t="s">
        <v>28</v>
      </c>
      <c r="N1512" s="6" t="s">
        <v>19</v>
      </c>
      <c r="O1512" s="6" t="s">
        <v>28</v>
      </c>
    </row>
    <row r="1513" spans="7:15" x14ac:dyDescent="0.3">
      <c r="G1513" s="7" t="s">
        <v>19</v>
      </c>
      <c r="H1513" s="7" t="s">
        <v>334</v>
      </c>
      <c r="N1513" s="7" t="s">
        <v>19</v>
      </c>
      <c r="O1513" s="7" t="s">
        <v>334</v>
      </c>
    </row>
    <row r="1514" spans="7:15" x14ac:dyDescent="0.3">
      <c r="G1514" s="6" t="s">
        <v>19</v>
      </c>
      <c r="H1514" s="6" t="s">
        <v>33</v>
      </c>
      <c r="N1514" s="6" t="s">
        <v>19</v>
      </c>
      <c r="O1514" s="6" t="s">
        <v>33</v>
      </c>
    </row>
    <row r="1515" spans="7:15" x14ac:dyDescent="0.3">
      <c r="G1515" s="7" t="s">
        <v>19</v>
      </c>
      <c r="H1515" s="7" t="s">
        <v>33</v>
      </c>
      <c r="N1515" s="7" t="s">
        <v>19</v>
      </c>
      <c r="O1515" s="7" t="s">
        <v>33</v>
      </c>
    </row>
    <row r="1516" spans="7:15" x14ac:dyDescent="0.3">
      <c r="G1516" s="6" t="s">
        <v>19</v>
      </c>
      <c r="H1516" s="6" t="s">
        <v>33</v>
      </c>
      <c r="N1516" s="6" t="s">
        <v>19</v>
      </c>
      <c r="O1516" s="6" t="s">
        <v>33</v>
      </c>
    </row>
    <row r="1517" spans="7:15" x14ac:dyDescent="0.3">
      <c r="G1517" s="7" t="s">
        <v>19</v>
      </c>
      <c r="H1517" s="7" t="s">
        <v>33</v>
      </c>
      <c r="N1517" s="7" t="s">
        <v>19</v>
      </c>
      <c r="O1517" s="7" t="s">
        <v>33</v>
      </c>
    </row>
    <row r="1518" spans="7:15" x14ac:dyDescent="0.3">
      <c r="G1518" s="6" t="s">
        <v>19</v>
      </c>
      <c r="H1518" s="6" t="s">
        <v>33</v>
      </c>
      <c r="N1518" s="6" t="s">
        <v>19</v>
      </c>
      <c r="O1518" s="6" t="s">
        <v>33</v>
      </c>
    </row>
    <row r="1519" spans="7:15" x14ac:dyDescent="0.3">
      <c r="G1519" s="7" t="s">
        <v>19</v>
      </c>
      <c r="H1519" s="7" t="s">
        <v>33</v>
      </c>
      <c r="N1519" s="7" t="s">
        <v>19</v>
      </c>
      <c r="O1519" s="7" t="s">
        <v>33</v>
      </c>
    </row>
    <row r="1520" spans="7:15" x14ac:dyDescent="0.3">
      <c r="G1520" s="6" t="s">
        <v>19</v>
      </c>
      <c r="H1520" s="6" t="s">
        <v>545</v>
      </c>
      <c r="N1520" s="6" t="s">
        <v>19</v>
      </c>
      <c r="O1520" s="6" t="s">
        <v>545</v>
      </c>
    </row>
    <row r="1521" spans="7:15" x14ac:dyDescent="0.3">
      <c r="G1521" s="7" t="s">
        <v>19</v>
      </c>
      <c r="H1521" s="7" t="s">
        <v>55</v>
      </c>
      <c r="N1521" s="7" t="s">
        <v>19</v>
      </c>
      <c r="O1521" s="7" t="s">
        <v>55</v>
      </c>
    </row>
    <row r="1522" spans="7:15" x14ac:dyDescent="0.3">
      <c r="G1522" s="6" t="s">
        <v>19</v>
      </c>
      <c r="H1522" s="6" t="s">
        <v>55</v>
      </c>
      <c r="N1522" s="6" t="s">
        <v>19</v>
      </c>
      <c r="O1522" s="6" t="s">
        <v>55</v>
      </c>
    </row>
    <row r="1523" spans="7:15" x14ac:dyDescent="0.3">
      <c r="G1523" s="7" t="s">
        <v>19</v>
      </c>
      <c r="H1523" s="7" t="s">
        <v>62</v>
      </c>
      <c r="N1523" s="7" t="s">
        <v>19</v>
      </c>
      <c r="O1523" s="7" t="s">
        <v>62</v>
      </c>
    </row>
    <row r="1524" spans="7:15" x14ac:dyDescent="0.3">
      <c r="G1524" s="6" t="s">
        <v>19</v>
      </c>
      <c r="H1524" s="6" t="s">
        <v>62</v>
      </c>
      <c r="N1524" s="6" t="s">
        <v>19</v>
      </c>
      <c r="O1524" s="6" t="s">
        <v>62</v>
      </c>
    </row>
    <row r="1525" spans="7:15" x14ac:dyDescent="0.3">
      <c r="G1525" s="7" t="s">
        <v>19</v>
      </c>
      <c r="H1525" s="7" t="s">
        <v>62</v>
      </c>
      <c r="N1525" s="7" t="s">
        <v>19</v>
      </c>
      <c r="O1525" s="7" t="s">
        <v>62</v>
      </c>
    </row>
    <row r="1526" spans="7:15" x14ac:dyDescent="0.3">
      <c r="G1526" s="6" t="s">
        <v>19</v>
      </c>
      <c r="H1526" s="6" t="s">
        <v>201</v>
      </c>
      <c r="N1526" s="6" t="s">
        <v>19</v>
      </c>
      <c r="O1526" s="6" t="s">
        <v>201</v>
      </c>
    </row>
    <row r="1527" spans="7:15" x14ac:dyDescent="0.3">
      <c r="G1527" s="7" t="s">
        <v>19</v>
      </c>
      <c r="H1527" s="7" t="s">
        <v>201</v>
      </c>
      <c r="N1527" s="7" t="s">
        <v>19</v>
      </c>
      <c r="O1527" s="7" t="s">
        <v>201</v>
      </c>
    </row>
    <row r="1528" spans="7:15" x14ac:dyDescent="0.3">
      <c r="G1528" s="6" t="s">
        <v>19</v>
      </c>
      <c r="H1528" s="6" t="s">
        <v>82</v>
      </c>
      <c r="N1528" s="6" t="s">
        <v>19</v>
      </c>
      <c r="O1528" s="6" t="s">
        <v>82</v>
      </c>
    </row>
    <row r="1529" spans="7:15" x14ac:dyDescent="0.3">
      <c r="G1529" s="7" t="s">
        <v>19</v>
      </c>
      <c r="H1529" s="7" t="s">
        <v>115</v>
      </c>
      <c r="N1529" s="7" t="s">
        <v>19</v>
      </c>
      <c r="O1529" s="7" t="s">
        <v>115</v>
      </c>
    </row>
    <row r="1530" spans="7:15" x14ac:dyDescent="0.3">
      <c r="G1530" s="6" t="s">
        <v>19</v>
      </c>
      <c r="H1530" s="6" t="s">
        <v>28</v>
      </c>
      <c r="N1530" s="6" t="s">
        <v>19</v>
      </c>
      <c r="O1530" s="6" t="s">
        <v>28</v>
      </c>
    </row>
    <row r="1531" spans="7:15" x14ac:dyDescent="0.3">
      <c r="G1531" s="7" t="s">
        <v>19</v>
      </c>
      <c r="H1531" s="7" t="s">
        <v>33</v>
      </c>
      <c r="N1531" s="7" t="s">
        <v>19</v>
      </c>
      <c r="O1531" s="7" t="s">
        <v>33</v>
      </c>
    </row>
    <row r="1532" spans="7:15" x14ac:dyDescent="0.3">
      <c r="G1532" s="6" t="s">
        <v>19</v>
      </c>
      <c r="H1532" s="6" t="s">
        <v>33</v>
      </c>
      <c r="N1532" s="6" t="s">
        <v>19</v>
      </c>
      <c r="O1532" s="6" t="s">
        <v>33</v>
      </c>
    </row>
    <row r="1533" spans="7:15" x14ac:dyDescent="0.3">
      <c r="G1533" s="7" t="s">
        <v>19</v>
      </c>
      <c r="H1533" s="7" t="s">
        <v>33</v>
      </c>
      <c r="N1533" s="7" t="s">
        <v>19</v>
      </c>
      <c r="O1533" s="7" t="s">
        <v>33</v>
      </c>
    </row>
    <row r="1534" spans="7:15" x14ac:dyDescent="0.3">
      <c r="G1534" s="6" t="s">
        <v>19</v>
      </c>
      <c r="H1534" s="6" t="s">
        <v>33</v>
      </c>
      <c r="N1534" s="6" t="s">
        <v>19</v>
      </c>
      <c r="O1534" s="6" t="s">
        <v>33</v>
      </c>
    </row>
    <row r="1535" spans="7:15" x14ac:dyDescent="0.3">
      <c r="G1535" s="7" t="s">
        <v>19</v>
      </c>
      <c r="H1535" s="7" t="s">
        <v>33</v>
      </c>
      <c r="N1535" s="7" t="s">
        <v>19</v>
      </c>
      <c r="O1535" s="7" t="s">
        <v>33</v>
      </c>
    </row>
    <row r="1536" spans="7:15" x14ac:dyDescent="0.3">
      <c r="G1536" s="6" t="s">
        <v>19</v>
      </c>
      <c r="H1536" s="6" t="s">
        <v>33</v>
      </c>
      <c r="N1536" s="6" t="s">
        <v>19</v>
      </c>
      <c r="O1536" s="6" t="s">
        <v>33</v>
      </c>
    </row>
    <row r="1537" spans="7:15" x14ac:dyDescent="0.3">
      <c r="G1537" s="7" t="s">
        <v>19</v>
      </c>
      <c r="H1537" s="7" t="s">
        <v>33</v>
      </c>
      <c r="N1537" s="7" t="s">
        <v>19</v>
      </c>
      <c r="O1537" s="7" t="s">
        <v>33</v>
      </c>
    </row>
    <row r="1538" spans="7:15" x14ac:dyDescent="0.3">
      <c r="G1538" s="6" t="s">
        <v>19</v>
      </c>
      <c r="H1538" s="6" t="s">
        <v>33</v>
      </c>
      <c r="N1538" s="6" t="s">
        <v>19</v>
      </c>
      <c r="O1538" s="6" t="s">
        <v>33</v>
      </c>
    </row>
    <row r="1539" spans="7:15" x14ac:dyDescent="0.3">
      <c r="G1539" s="7" t="s">
        <v>19</v>
      </c>
      <c r="H1539" s="7" t="s">
        <v>33</v>
      </c>
      <c r="N1539" s="7" t="s">
        <v>19</v>
      </c>
      <c r="O1539" s="7" t="s">
        <v>33</v>
      </c>
    </row>
    <row r="1540" spans="7:15" x14ac:dyDescent="0.3">
      <c r="G1540" s="6" t="s">
        <v>19</v>
      </c>
      <c r="H1540" s="6" t="s">
        <v>33</v>
      </c>
      <c r="N1540" s="6" t="s">
        <v>19</v>
      </c>
      <c r="O1540" s="6" t="s">
        <v>33</v>
      </c>
    </row>
    <row r="1541" spans="7:15" x14ac:dyDescent="0.3">
      <c r="G1541" s="7" t="s">
        <v>19</v>
      </c>
      <c r="H1541" s="7" t="s">
        <v>33</v>
      </c>
      <c r="N1541" s="7" t="s">
        <v>19</v>
      </c>
      <c r="O1541" s="7" t="s">
        <v>33</v>
      </c>
    </row>
    <row r="1542" spans="7:15" x14ac:dyDescent="0.3">
      <c r="G1542" s="6" t="s">
        <v>19</v>
      </c>
      <c r="H1542" s="6" t="s">
        <v>33</v>
      </c>
      <c r="N1542" s="6" t="s">
        <v>19</v>
      </c>
      <c r="O1542" s="6" t="s">
        <v>33</v>
      </c>
    </row>
    <row r="1543" spans="7:15" x14ac:dyDescent="0.3">
      <c r="G1543" s="7" t="s">
        <v>19</v>
      </c>
      <c r="H1543" s="7" t="s">
        <v>33</v>
      </c>
      <c r="N1543" s="7" t="s">
        <v>19</v>
      </c>
      <c r="O1543" s="7" t="s">
        <v>33</v>
      </c>
    </row>
    <row r="1544" spans="7:15" x14ac:dyDescent="0.3">
      <c r="G1544" s="6" t="s">
        <v>19</v>
      </c>
      <c r="H1544" s="6" t="s">
        <v>338</v>
      </c>
      <c r="N1544" s="6" t="s">
        <v>19</v>
      </c>
      <c r="O1544" s="6" t="s">
        <v>338</v>
      </c>
    </row>
    <row r="1545" spans="7:15" x14ac:dyDescent="0.3">
      <c r="G1545" s="7" t="s">
        <v>19</v>
      </c>
      <c r="H1545" s="7" t="s">
        <v>158</v>
      </c>
      <c r="N1545" s="7" t="s">
        <v>19</v>
      </c>
      <c r="O1545" s="7" t="s">
        <v>158</v>
      </c>
    </row>
    <row r="1546" spans="7:15" x14ac:dyDescent="0.3">
      <c r="G1546" s="6" t="s">
        <v>19</v>
      </c>
      <c r="H1546" s="6" t="s">
        <v>55</v>
      </c>
      <c r="N1546" s="6" t="s">
        <v>19</v>
      </c>
      <c r="O1546" s="6" t="s">
        <v>55</v>
      </c>
    </row>
    <row r="1547" spans="7:15" x14ac:dyDescent="0.3">
      <c r="G1547" s="7" t="s">
        <v>19</v>
      </c>
      <c r="H1547" s="7" t="s">
        <v>55</v>
      </c>
      <c r="N1547" s="7" t="s">
        <v>19</v>
      </c>
      <c r="O1547" s="7" t="s">
        <v>55</v>
      </c>
    </row>
    <row r="1548" spans="7:15" x14ac:dyDescent="0.3">
      <c r="G1548" s="6" t="s">
        <v>19</v>
      </c>
      <c r="H1548" s="6" t="s">
        <v>62</v>
      </c>
      <c r="N1548" s="6" t="s">
        <v>19</v>
      </c>
      <c r="O1548" s="6" t="s">
        <v>62</v>
      </c>
    </row>
    <row r="1549" spans="7:15" x14ac:dyDescent="0.3">
      <c r="G1549" s="7" t="s">
        <v>19</v>
      </c>
      <c r="H1549" s="7" t="s">
        <v>62</v>
      </c>
      <c r="N1549" s="7" t="s">
        <v>19</v>
      </c>
      <c r="O1549" s="7" t="s">
        <v>62</v>
      </c>
    </row>
    <row r="1550" spans="7:15" x14ac:dyDescent="0.3">
      <c r="G1550" s="6" t="s">
        <v>19</v>
      </c>
      <c r="H1550" s="6" t="s">
        <v>62</v>
      </c>
      <c r="N1550" s="6" t="s">
        <v>19</v>
      </c>
      <c r="O1550" s="6" t="s">
        <v>62</v>
      </c>
    </row>
    <row r="1551" spans="7:15" x14ac:dyDescent="0.3">
      <c r="G1551" s="7" t="s">
        <v>19</v>
      </c>
      <c r="H1551" s="7" t="s">
        <v>62</v>
      </c>
      <c r="N1551" s="7" t="s">
        <v>19</v>
      </c>
      <c r="O1551" s="7" t="s">
        <v>62</v>
      </c>
    </row>
    <row r="1552" spans="7:15" x14ac:dyDescent="0.3">
      <c r="G1552" s="6" t="s">
        <v>19</v>
      </c>
      <c r="H1552" s="6" t="s">
        <v>62</v>
      </c>
      <c r="N1552" s="6" t="s">
        <v>19</v>
      </c>
      <c r="O1552" s="6" t="s">
        <v>62</v>
      </c>
    </row>
    <row r="1553" spans="7:15" x14ac:dyDescent="0.3">
      <c r="G1553" s="7" t="s">
        <v>19</v>
      </c>
      <c r="H1553" s="7" t="s">
        <v>103</v>
      </c>
      <c r="N1553" s="7" t="s">
        <v>19</v>
      </c>
      <c r="O1553" s="7" t="s">
        <v>103</v>
      </c>
    </row>
    <row r="1554" spans="7:15" x14ac:dyDescent="0.3">
      <c r="G1554" s="6" t="s">
        <v>19</v>
      </c>
      <c r="H1554" s="6" t="s">
        <v>74</v>
      </c>
      <c r="N1554" s="6" t="s">
        <v>19</v>
      </c>
      <c r="O1554" s="6" t="s">
        <v>74</v>
      </c>
    </row>
    <row r="1555" spans="7:15" x14ac:dyDescent="0.3">
      <c r="G1555" s="7" t="s">
        <v>19</v>
      </c>
      <c r="H1555" s="7" t="s">
        <v>77</v>
      </c>
      <c r="N1555" s="7" t="s">
        <v>19</v>
      </c>
      <c r="O1555" s="7" t="s">
        <v>77</v>
      </c>
    </row>
    <row r="1556" spans="7:15" x14ac:dyDescent="0.3">
      <c r="G1556" s="6" t="s">
        <v>19</v>
      </c>
      <c r="H1556" s="6" t="s">
        <v>77</v>
      </c>
      <c r="N1556" s="6" t="s">
        <v>19</v>
      </c>
      <c r="O1556" s="6" t="s">
        <v>77</v>
      </c>
    </row>
    <row r="1557" spans="7:15" x14ac:dyDescent="0.3">
      <c r="G1557" s="7" t="s">
        <v>19</v>
      </c>
      <c r="H1557" s="7" t="s">
        <v>377</v>
      </c>
      <c r="N1557" s="7" t="s">
        <v>19</v>
      </c>
      <c r="O1557" s="7" t="s">
        <v>377</v>
      </c>
    </row>
    <row r="1558" spans="7:15" x14ac:dyDescent="0.3">
      <c r="G1558" s="6" t="s">
        <v>19</v>
      </c>
      <c r="H1558" s="6" t="s">
        <v>82</v>
      </c>
      <c r="N1558" s="6" t="s">
        <v>19</v>
      </c>
      <c r="O1558" s="6" t="s">
        <v>82</v>
      </c>
    </row>
    <row r="1559" spans="7:15" x14ac:dyDescent="0.3">
      <c r="G1559" s="7" t="s">
        <v>19</v>
      </c>
      <c r="H1559" s="7" t="s">
        <v>115</v>
      </c>
      <c r="N1559" s="7" t="s">
        <v>19</v>
      </c>
      <c r="O1559" s="7" t="s">
        <v>115</v>
      </c>
    </row>
    <row r="1560" spans="7:15" x14ac:dyDescent="0.3">
      <c r="G1560" s="6" t="s">
        <v>19</v>
      </c>
      <c r="H1560" s="6" t="s">
        <v>24</v>
      </c>
      <c r="N1560" s="6" t="s">
        <v>19</v>
      </c>
      <c r="O1560" s="6" t="s">
        <v>24</v>
      </c>
    </row>
    <row r="1561" spans="7:15" x14ac:dyDescent="0.3">
      <c r="G1561" s="7" t="s">
        <v>19</v>
      </c>
      <c r="H1561" s="7" t="s">
        <v>24</v>
      </c>
      <c r="N1561" s="7" t="s">
        <v>19</v>
      </c>
      <c r="O1561" s="7" t="s">
        <v>24</v>
      </c>
    </row>
    <row r="1562" spans="7:15" x14ac:dyDescent="0.3">
      <c r="G1562" s="6" t="s">
        <v>19</v>
      </c>
      <c r="H1562" s="6" t="s">
        <v>587</v>
      </c>
      <c r="N1562" s="6" t="s">
        <v>19</v>
      </c>
      <c r="O1562" s="6" t="s">
        <v>587</v>
      </c>
    </row>
    <row r="1563" spans="7:15" x14ac:dyDescent="0.3">
      <c r="G1563" s="7" t="s">
        <v>19</v>
      </c>
      <c r="H1563" s="7" t="s">
        <v>33</v>
      </c>
      <c r="N1563" s="7" t="s">
        <v>19</v>
      </c>
      <c r="O1563" s="7" t="s">
        <v>33</v>
      </c>
    </row>
    <row r="1564" spans="7:15" x14ac:dyDescent="0.3">
      <c r="G1564" s="6" t="s">
        <v>19</v>
      </c>
      <c r="H1564" s="6" t="s">
        <v>33</v>
      </c>
      <c r="N1564" s="6" t="s">
        <v>19</v>
      </c>
      <c r="O1564" s="6" t="s">
        <v>33</v>
      </c>
    </row>
    <row r="1565" spans="7:15" x14ac:dyDescent="0.3">
      <c r="G1565" s="7" t="s">
        <v>19</v>
      </c>
      <c r="H1565" s="7" t="s">
        <v>33</v>
      </c>
      <c r="N1565" s="7" t="s">
        <v>19</v>
      </c>
      <c r="O1565" s="7" t="s">
        <v>33</v>
      </c>
    </row>
    <row r="1566" spans="7:15" x14ac:dyDescent="0.3">
      <c r="G1566" s="6" t="s">
        <v>19</v>
      </c>
      <c r="H1566" s="6" t="s">
        <v>33</v>
      </c>
      <c r="N1566" s="6" t="s">
        <v>19</v>
      </c>
      <c r="O1566" s="6" t="s">
        <v>33</v>
      </c>
    </row>
    <row r="1567" spans="7:15" x14ac:dyDescent="0.3">
      <c r="G1567" s="7" t="s">
        <v>19</v>
      </c>
      <c r="H1567" s="7" t="s">
        <v>33</v>
      </c>
      <c r="N1567" s="7" t="s">
        <v>19</v>
      </c>
      <c r="O1567" s="7" t="s">
        <v>33</v>
      </c>
    </row>
    <row r="1568" spans="7:15" x14ac:dyDescent="0.3">
      <c r="G1568" s="6" t="s">
        <v>19</v>
      </c>
      <c r="H1568" s="6" t="s">
        <v>33</v>
      </c>
      <c r="N1568" s="6" t="s">
        <v>19</v>
      </c>
      <c r="O1568" s="6" t="s">
        <v>33</v>
      </c>
    </row>
    <row r="1569" spans="7:15" x14ac:dyDescent="0.3">
      <c r="G1569" s="7" t="s">
        <v>19</v>
      </c>
      <c r="H1569" s="7" t="s">
        <v>33</v>
      </c>
      <c r="N1569" s="7" t="s">
        <v>19</v>
      </c>
      <c r="O1569" s="7" t="s">
        <v>33</v>
      </c>
    </row>
    <row r="1570" spans="7:15" x14ac:dyDescent="0.3">
      <c r="G1570" s="6" t="s">
        <v>19</v>
      </c>
      <c r="H1570" s="6" t="s">
        <v>33</v>
      </c>
      <c r="N1570" s="6" t="s">
        <v>19</v>
      </c>
      <c r="O1570" s="6" t="s">
        <v>33</v>
      </c>
    </row>
    <row r="1571" spans="7:15" x14ac:dyDescent="0.3">
      <c r="G1571" s="7" t="s">
        <v>19</v>
      </c>
      <c r="H1571" s="7" t="s">
        <v>186</v>
      </c>
      <c r="N1571" s="7" t="s">
        <v>19</v>
      </c>
      <c r="O1571" s="7" t="s">
        <v>186</v>
      </c>
    </row>
    <row r="1572" spans="7:15" x14ac:dyDescent="0.3">
      <c r="G1572" s="6" t="s">
        <v>19</v>
      </c>
      <c r="H1572" s="6" t="s">
        <v>98</v>
      </c>
      <c r="N1572" s="6" t="s">
        <v>19</v>
      </c>
      <c r="O1572" s="6" t="s">
        <v>98</v>
      </c>
    </row>
    <row r="1573" spans="7:15" x14ac:dyDescent="0.3">
      <c r="G1573" s="7" t="s">
        <v>19</v>
      </c>
      <c r="H1573" s="7" t="s">
        <v>52</v>
      </c>
      <c r="N1573" s="7" t="s">
        <v>19</v>
      </c>
      <c r="O1573" s="7" t="s">
        <v>52</v>
      </c>
    </row>
    <row r="1574" spans="7:15" x14ac:dyDescent="0.3">
      <c r="G1574" s="6" t="s">
        <v>19</v>
      </c>
      <c r="H1574" s="6" t="s">
        <v>55</v>
      </c>
      <c r="N1574" s="6" t="s">
        <v>19</v>
      </c>
      <c r="O1574" s="6" t="s">
        <v>55</v>
      </c>
    </row>
    <row r="1575" spans="7:15" x14ac:dyDescent="0.3">
      <c r="G1575" s="7" t="s">
        <v>19</v>
      </c>
      <c r="H1575" s="7" t="s">
        <v>62</v>
      </c>
      <c r="N1575" s="7" t="s">
        <v>19</v>
      </c>
      <c r="O1575" s="7" t="s">
        <v>62</v>
      </c>
    </row>
    <row r="1576" spans="7:15" x14ac:dyDescent="0.3">
      <c r="G1576" s="6" t="s">
        <v>19</v>
      </c>
      <c r="H1576" s="6" t="s">
        <v>62</v>
      </c>
      <c r="N1576" s="6" t="s">
        <v>19</v>
      </c>
      <c r="O1576" s="6" t="s">
        <v>62</v>
      </c>
    </row>
    <row r="1577" spans="7:15" x14ac:dyDescent="0.3">
      <c r="G1577" s="7" t="s">
        <v>19</v>
      </c>
      <c r="H1577" s="7" t="s">
        <v>62</v>
      </c>
      <c r="N1577" s="7" t="s">
        <v>19</v>
      </c>
      <c r="O1577" s="7" t="s">
        <v>62</v>
      </c>
    </row>
    <row r="1578" spans="7:15" x14ac:dyDescent="0.3">
      <c r="G1578" s="6" t="s">
        <v>19</v>
      </c>
      <c r="H1578" s="6" t="s">
        <v>62</v>
      </c>
      <c r="N1578" s="6" t="s">
        <v>19</v>
      </c>
      <c r="O1578" s="6" t="s">
        <v>62</v>
      </c>
    </row>
    <row r="1579" spans="7:15" x14ac:dyDescent="0.3">
      <c r="G1579" s="7" t="s">
        <v>19</v>
      </c>
      <c r="H1579" s="7" t="s">
        <v>62</v>
      </c>
      <c r="N1579" s="7" t="s">
        <v>19</v>
      </c>
      <c r="O1579" s="7" t="s">
        <v>62</v>
      </c>
    </row>
    <row r="1580" spans="7:15" x14ac:dyDescent="0.3">
      <c r="G1580" s="6" t="s">
        <v>19</v>
      </c>
      <c r="H1580" s="6" t="s">
        <v>62</v>
      </c>
      <c r="N1580" s="6" t="s">
        <v>19</v>
      </c>
      <c r="O1580" s="6" t="s">
        <v>62</v>
      </c>
    </row>
    <row r="1581" spans="7:15" x14ac:dyDescent="0.3">
      <c r="G1581" s="7" t="s">
        <v>19</v>
      </c>
      <c r="H1581" s="7" t="s">
        <v>103</v>
      </c>
      <c r="N1581" s="7" t="s">
        <v>19</v>
      </c>
      <c r="O1581" s="7" t="s">
        <v>103</v>
      </c>
    </row>
    <row r="1582" spans="7:15" x14ac:dyDescent="0.3">
      <c r="G1582" s="6" t="s">
        <v>19</v>
      </c>
      <c r="H1582" s="6" t="s">
        <v>77</v>
      </c>
      <c r="N1582" s="6" t="s">
        <v>19</v>
      </c>
      <c r="O1582" s="6" t="s">
        <v>77</v>
      </c>
    </row>
    <row r="1583" spans="7:15" x14ac:dyDescent="0.3">
      <c r="G1583" s="7" t="s">
        <v>19</v>
      </c>
      <c r="H1583" s="7" t="s">
        <v>108</v>
      </c>
      <c r="N1583" s="7" t="s">
        <v>19</v>
      </c>
      <c r="O1583" s="7" t="s">
        <v>108</v>
      </c>
    </row>
    <row r="1584" spans="7:15" x14ac:dyDescent="0.3">
      <c r="G1584" s="6" t="s">
        <v>19</v>
      </c>
      <c r="H1584" s="6" t="s">
        <v>110</v>
      </c>
      <c r="N1584" s="6" t="s">
        <v>19</v>
      </c>
      <c r="O1584" s="6" t="s">
        <v>110</v>
      </c>
    </row>
    <row r="1585" spans="7:15" x14ac:dyDescent="0.3">
      <c r="G1585" s="7" t="s">
        <v>19</v>
      </c>
      <c r="H1585" s="7" t="s">
        <v>82</v>
      </c>
      <c r="N1585" s="7" t="s">
        <v>19</v>
      </c>
      <c r="O1585" s="7" t="s">
        <v>82</v>
      </c>
    </row>
    <row r="1586" spans="7:15" x14ac:dyDescent="0.3">
      <c r="G1586" s="6" t="s">
        <v>19</v>
      </c>
      <c r="H1586" s="6" t="s">
        <v>115</v>
      </c>
      <c r="N1586" s="6" t="s">
        <v>19</v>
      </c>
      <c r="O1586" s="6" t="s">
        <v>115</v>
      </c>
    </row>
    <row r="1587" spans="7:15" x14ac:dyDescent="0.3">
      <c r="G1587" s="7" t="s">
        <v>19</v>
      </c>
      <c r="H1587" s="7" t="s">
        <v>115</v>
      </c>
      <c r="N1587" s="7" t="s">
        <v>19</v>
      </c>
      <c r="O1587" s="7" t="s">
        <v>115</v>
      </c>
    </row>
    <row r="1588" spans="7:15" x14ac:dyDescent="0.3">
      <c r="G1588" s="6" t="s">
        <v>19</v>
      </c>
      <c r="H1588" s="6" t="s">
        <v>24</v>
      </c>
      <c r="N1588" s="6" t="s">
        <v>19</v>
      </c>
      <c r="O1588" s="6" t="s">
        <v>24</v>
      </c>
    </row>
    <row r="1589" spans="7:15" x14ac:dyDescent="0.3">
      <c r="G1589" s="7" t="s">
        <v>19</v>
      </c>
      <c r="H1589" s="7" t="s">
        <v>33</v>
      </c>
      <c r="N1589" s="7" t="s">
        <v>19</v>
      </c>
      <c r="O1589" s="7" t="s">
        <v>33</v>
      </c>
    </row>
    <row r="1590" spans="7:15" x14ac:dyDescent="0.3">
      <c r="G1590" s="6" t="s">
        <v>19</v>
      </c>
      <c r="H1590" s="6" t="s">
        <v>33</v>
      </c>
      <c r="N1590" s="6" t="s">
        <v>19</v>
      </c>
      <c r="O1590" s="6" t="s">
        <v>33</v>
      </c>
    </row>
    <row r="1591" spans="7:15" x14ac:dyDescent="0.3">
      <c r="G1591" s="7" t="s">
        <v>19</v>
      </c>
      <c r="H1591" s="7" t="s">
        <v>33</v>
      </c>
      <c r="N1591" s="7" t="s">
        <v>19</v>
      </c>
      <c r="O1591" s="7" t="s">
        <v>33</v>
      </c>
    </row>
    <row r="1592" spans="7:15" x14ac:dyDescent="0.3">
      <c r="G1592" s="6" t="s">
        <v>19</v>
      </c>
      <c r="H1592" s="6" t="s">
        <v>33</v>
      </c>
      <c r="N1592" s="6" t="s">
        <v>19</v>
      </c>
      <c r="O1592" s="6" t="s">
        <v>33</v>
      </c>
    </row>
    <row r="1593" spans="7:15" x14ac:dyDescent="0.3">
      <c r="G1593" s="7" t="s">
        <v>19</v>
      </c>
      <c r="H1593" s="7" t="s">
        <v>33</v>
      </c>
      <c r="N1593" s="7" t="s">
        <v>19</v>
      </c>
      <c r="O1593" s="7" t="s">
        <v>33</v>
      </c>
    </row>
    <row r="1594" spans="7:15" x14ac:dyDescent="0.3">
      <c r="G1594" s="6" t="s">
        <v>19</v>
      </c>
      <c r="H1594" s="6" t="s">
        <v>33</v>
      </c>
      <c r="N1594" s="6" t="s">
        <v>19</v>
      </c>
      <c r="O1594" s="6" t="s">
        <v>33</v>
      </c>
    </row>
    <row r="1595" spans="7:15" x14ac:dyDescent="0.3">
      <c r="G1595" s="7" t="s">
        <v>19</v>
      </c>
      <c r="H1595" s="7" t="s">
        <v>33</v>
      </c>
      <c r="N1595" s="7" t="s">
        <v>19</v>
      </c>
      <c r="O1595" s="7" t="s">
        <v>33</v>
      </c>
    </row>
    <row r="1596" spans="7:15" x14ac:dyDescent="0.3">
      <c r="G1596" s="6" t="s">
        <v>19</v>
      </c>
      <c r="H1596" s="6" t="s">
        <v>33</v>
      </c>
      <c r="N1596" s="6" t="s">
        <v>19</v>
      </c>
      <c r="O1596" s="6" t="s">
        <v>33</v>
      </c>
    </row>
    <row r="1597" spans="7:15" x14ac:dyDescent="0.3">
      <c r="G1597" s="7" t="s">
        <v>19</v>
      </c>
      <c r="H1597" s="7" t="s">
        <v>33</v>
      </c>
      <c r="N1597" s="7" t="s">
        <v>19</v>
      </c>
      <c r="O1597" s="7" t="s">
        <v>33</v>
      </c>
    </row>
    <row r="1598" spans="7:15" x14ac:dyDescent="0.3">
      <c r="G1598" s="6" t="s">
        <v>19</v>
      </c>
      <c r="H1598" s="6" t="s">
        <v>33</v>
      </c>
      <c r="N1598" s="6" t="s">
        <v>19</v>
      </c>
      <c r="O1598" s="6" t="s">
        <v>33</v>
      </c>
    </row>
    <row r="1599" spans="7:15" x14ac:dyDescent="0.3">
      <c r="G1599" s="7" t="s">
        <v>19</v>
      </c>
      <c r="H1599" s="7" t="s">
        <v>33</v>
      </c>
      <c r="N1599" s="7" t="s">
        <v>19</v>
      </c>
      <c r="O1599" s="7" t="s">
        <v>33</v>
      </c>
    </row>
    <row r="1600" spans="7:15" x14ac:dyDescent="0.3">
      <c r="G1600" s="6" t="s">
        <v>19</v>
      </c>
      <c r="H1600" s="6" t="s">
        <v>342</v>
      </c>
      <c r="N1600" s="6" t="s">
        <v>19</v>
      </c>
      <c r="O1600" s="6" t="s">
        <v>342</v>
      </c>
    </row>
    <row r="1601" spans="7:15" x14ac:dyDescent="0.3">
      <c r="G1601" s="7" t="s">
        <v>19</v>
      </c>
      <c r="H1601" s="7" t="s">
        <v>62</v>
      </c>
      <c r="N1601" s="7" t="s">
        <v>19</v>
      </c>
      <c r="O1601" s="7" t="s">
        <v>62</v>
      </c>
    </row>
    <row r="1602" spans="7:15" x14ac:dyDescent="0.3">
      <c r="G1602" s="6" t="s">
        <v>19</v>
      </c>
      <c r="H1602" s="6" t="s">
        <v>62</v>
      </c>
      <c r="N1602" s="6" t="s">
        <v>19</v>
      </c>
      <c r="O1602" s="6" t="s">
        <v>62</v>
      </c>
    </row>
    <row r="1603" spans="7:15" x14ac:dyDescent="0.3">
      <c r="G1603" s="7" t="s">
        <v>19</v>
      </c>
      <c r="H1603" s="7" t="s">
        <v>62</v>
      </c>
      <c r="N1603" s="7" t="s">
        <v>19</v>
      </c>
      <c r="O1603" s="7" t="s">
        <v>62</v>
      </c>
    </row>
    <row r="1604" spans="7:15" x14ac:dyDescent="0.3">
      <c r="G1604" s="6" t="s">
        <v>19</v>
      </c>
      <c r="H1604" s="6" t="s">
        <v>62</v>
      </c>
      <c r="N1604" s="6" t="s">
        <v>19</v>
      </c>
      <c r="O1604" s="6" t="s">
        <v>62</v>
      </c>
    </row>
    <row r="1605" spans="7:15" x14ac:dyDescent="0.3">
      <c r="G1605" s="7" t="s">
        <v>19</v>
      </c>
      <c r="H1605" s="7" t="s">
        <v>103</v>
      </c>
      <c r="N1605" s="7" t="s">
        <v>19</v>
      </c>
      <c r="O1605" s="7" t="s">
        <v>103</v>
      </c>
    </row>
    <row r="1606" spans="7:15" x14ac:dyDescent="0.3">
      <c r="G1606" s="6" t="s">
        <v>19</v>
      </c>
      <c r="H1606" s="6" t="s">
        <v>103</v>
      </c>
      <c r="N1606" s="6" t="s">
        <v>19</v>
      </c>
      <c r="O1606" s="6" t="s">
        <v>103</v>
      </c>
    </row>
    <row r="1607" spans="7:15" x14ac:dyDescent="0.3">
      <c r="G1607" s="7" t="s">
        <v>19</v>
      </c>
      <c r="H1607" s="7" t="s">
        <v>201</v>
      </c>
      <c r="N1607" s="7" t="s">
        <v>19</v>
      </c>
      <c r="O1607" s="7" t="s">
        <v>201</v>
      </c>
    </row>
    <row r="1608" spans="7:15" x14ac:dyDescent="0.3">
      <c r="G1608" s="6" t="s">
        <v>19</v>
      </c>
      <c r="H1608" s="6" t="s">
        <v>201</v>
      </c>
      <c r="N1608" s="6" t="s">
        <v>19</v>
      </c>
      <c r="O1608" s="6" t="s">
        <v>201</v>
      </c>
    </row>
    <row r="1609" spans="7:15" x14ac:dyDescent="0.3">
      <c r="G1609" s="7" t="s">
        <v>19</v>
      </c>
      <c r="H1609" s="7" t="s">
        <v>72</v>
      </c>
      <c r="N1609" s="7" t="s">
        <v>19</v>
      </c>
      <c r="O1609" s="7" t="s">
        <v>72</v>
      </c>
    </row>
    <row r="1610" spans="7:15" x14ac:dyDescent="0.3">
      <c r="G1610" s="6" t="s">
        <v>19</v>
      </c>
      <c r="H1610" s="6" t="s">
        <v>72</v>
      </c>
      <c r="N1610" s="6" t="s">
        <v>19</v>
      </c>
      <c r="O1610" s="6" t="s">
        <v>72</v>
      </c>
    </row>
    <row r="1611" spans="7:15" x14ac:dyDescent="0.3">
      <c r="G1611" s="7" t="s">
        <v>19</v>
      </c>
      <c r="H1611" s="7" t="s">
        <v>74</v>
      </c>
      <c r="N1611" s="7" t="s">
        <v>19</v>
      </c>
      <c r="O1611" s="7" t="s">
        <v>74</v>
      </c>
    </row>
    <row r="1612" spans="7:15" x14ac:dyDescent="0.3">
      <c r="G1612" s="6" t="s">
        <v>19</v>
      </c>
      <c r="H1612" s="6" t="s">
        <v>74</v>
      </c>
      <c r="N1612" s="6" t="s">
        <v>19</v>
      </c>
      <c r="O1612" s="6" t="s">
        <v>74</v>
      </c>
    </row>
    <row r="1613" spans="7:15" x14ac:dyDescent="0.3">
      <c r="G1613" s="7" t="s">
        <v>19</v>
      </c>
      <c r="H1613" s="7" t="s">
        <v>110</v>
      </c>
      <c r="N1613" s="7" t="s">
        <v>19</v>
      </c>
      <c r="O1613" s="7" t="s">
        <v>110</v>
      </c>
    </row>
    <row r="1614" spans="7:15" x14ac:dyDescent="0.3">
      <c r="G1614" s="6" t="s">
        <v>19</v>
      </c>
      <c r="H1614" s="6" t="s">
        <v>82</v>
      </c>
      <c r="N1614" s="6" t="s">
        <v>19</v>
      </c>
      <c r="O1614" s="6" t="s">
        <v>82</v>
      </c>
    </row>
    <row r="1615" spans="7:15" x14ac:dyDescent="0.3">
      <c r="G1615" s="7" t="s">
        <v>19</v>
      </c>
      <c r="H1615" s="7" t="s">
        <v>82</v>
      </c>
      <c r="N1615" s="7" t="s">
        <v>19</v>
      </c>
      <c r="O1615" s="7" t="s">
        <v>82</v>
      </c>
    </row>
    <row r="1616" spans="7:15" x14ac:dyDescent="0.3">
      <c r="G1616" s="6" t="s">
        <v>19</v>
      </c>
      <c r="H1616" s="6" t="s">
        <v>115</v>
      </c>
      <c r="N1616" s="6" t="s">
        <v>19</v>
      </c>
      <c r="O1616" s="6" t="s">
        <v>115</v>
      </c>
    </row>
    <row r="1617" spans="7:15" x14ac:dyDescent="0.3">
      <c r="G1617" s="7" t="s">
        <v>19</v>
      </c>
      <c r="H1617" s="7" t="s">
        <v>641</v>
      </c>
      <c r="N1617" s="7" t="s">
        <v>19</v>
      </c>
      <c r="O1617" s="7" t="s">
        <v>641</v>
      </c>
    </row>
    <row r="1618" spans="7:15" x14ac:dyDescent="0.3">
      <c r="G1618" s="6" t="s">
        <v>19</v>
      </c>
      <c r="H1618" s="6" t="s">
        <v>28</v>
      </c>
      <c r="N1618" s="6" t="s">
        <v>19</v>
      </c>
      <c r="O1618" s="6" t="s">
        <v>28</v>
      </c>
    </row>
    <row r="1619" spans="7:15" x14ac:dyDescent="0.3">
      <c r="G1619" s="7" t="s">
        <v>19</v>
      </c>
      <c r="H1619" s="7" t="s">
        <v>147</v>
      </c>
      <c r="N1619" s="7" t="s">
        <v>19</v>
      </c>
      <c r="O1619" s="7" t="s">
        <v>147</v>
      </c>
    </row>
    <row r="1620" spans="7:15" x14ac:dyDescent="0.3">
      <c r="G1620" s="6" t="s">
        <v>19</v>
      </c>
      <c r="H1620" s="6" t="s">
        <v>147</v>
      </c>
      <c r="N1620" s="6" t="s">
        <v>19</v>
      </c>
      <c r="O1620" s="6" t="s">
        <v>147</v>
      </c>
    </row>
    <row r="1621" spans="7:15" x14ac:dyDescent="0.3">
      <c r="G1621" s="7" t="s">
        <v>19</v>
      </c>
      <c r="H1621" s="7" t="s">
        <v>147</v>
      </c>
      <c r="N1621" s="7" t="s">
        <v>19</v>
      </c>
      <c r="O1621" s="7" t="s">
        <v>147</v>
      </c>
    </row>
    <row r="1622" spans="7:15" x14ac:dyDescent="0.3">
      <c r="G1622" s="6" t="s">
        <v>19</v>
      </c>
      <c r="H1622" s="6" t="s">
        <v>33</v>
      </c>
      <c r="N1622" s="6" t="s">
        <v>19</v>
      </c>
      <c r="O1622" s="6" t="s">
        <v>33</v>
      </c>
    </row>
    <row r="1623" spans="7:15" x14ac:dyDescent="0.3">
      <c r="G1623" s="7" t="s">
        <v>19</v>
      </c>
      <c r="H1623" s="7" t="s">
        <v>33</v>
      </c>
      <c r="N1623" s="7" t="s">
        <v>19</v>
      </c>
      <c r="O1623" s="7" t="s">
        <v>33</v>
      </c>
    </row>
    <row r="1624" spans="7:15" x14ac:dyDescent="0.3">
      <c r="G1624" s="6" t="s">
        <v>19</v>
      </c>
      <c r="H1624" s="6" t="s">
        <v>33</v>
      </c>
      <c r="N1624" s="6" t="s">
        <v>19</v>
      </c>
      <c r="O1624" s="6" t="s">
        <v>33</v>
      </c>
    </row>
    <row r="1625" spans="7:15" x14ac:dyDescent="0.3">
      <c r="G1625" s="7" t="s">
        <v>19</v>
      </c>
      <c r="H1625" s="7" t="s">
        <v>33</v>
      </c>
      <c r="N1625" s="7" t="s">
        <v>19</v>
      </c>
      <c r="O1625" s="7" t="s">
        <v>33</v>
      </c>
    </row>
    <row r="1626" spans="7:15" x14ac:dyDescent="0.3">
      <c r="G1626" s="6" t="s">
        <v>19</v>
      </c>
      <c r="H1626" s="6" t="s">
        <v>33</v>
      </c>
      <c r="N1626" s="6" t="s">
        <v>19</v>
      </c>
      <c r="O1626" s="6" t="s">
        <v>33</v>
      </c>
    </row>
    <row r="1627" spans="7:15" x14ac:dyDescent="0.3">
      <c r="G1627" s="7" t="s">
        <v>19</v>
      </c>
      <c r="H1627" s="7" t="s">
        <v>98</v>
      </c>
      <c r="N1627" s="7" t="s">
        <v>19</v>
      </c>
      <c r="O1627" s="7" t="s">
        <v>98</v>
      </c>
    </row>
    <row r="1628" spans="7:15" x14ac:dyDescent="0.3">
      <c r="G1628" s="6" t="s">
        <v>19</v>
      </c>
      <c r="H1628" s="6" t="s">
        <v>158</v>
      </c>
      <c r="N1628" s="6" t="s">
        <v>19</v>
      </c>
      <c r="O1628" s="6" t="s">
        <v>158</v>
      </c>
    </row>
    <row r="1629" spans="7:15" x14ac:dyDescent="0.3">
      <c r="G1629" s="7" t="s">
        <v>19</v>
      </c>
      <c r="H1629" s="7" t="s">
        <v>55</v>
      </c>
      <c r="N1629" s="7" t="s">
        <v>19</v>
      </c>
      <c r="O1629" s="7" t="s">
        <v>55</v>
      </c>
    </row>
    <row r="1630" spans="7:15" x14ac:dyDescent="0.3">
      <c r="G1630" s="6" t="s">
        <v>19</v>
      </c>
      <c r="H1630" s="6" t="s">
        <v>55</v>
      </c>
      <c r="N1630" s="6" t="s">
        <v>19</v>
      </c>
      <c r="O1630" s="6" t="s">
        <v>55</v>
      </c>
    </row>
    <row r="1631" spans="7:15" x14ac:dyDescent="0.3">
      <c r="G1631" s="7" t="s">
        <v>19</v>
      </c>
      <c r="H1631" s="7" t="s">
        <v>62</v>
      </c>
      <c r="N1631" s="7" t="s">
        <v>19</v>
      </c>
      <c r="O1631" s="7" t="s">
        <v>62</v>
      </c>
    </row>
    <row r="1632" spans="7:15" x14ac:dyDescent="0.3">
      <c r="G1632" s="6" t="s">
        <v>19</v>
      </c>
      <c r="H1632" s="6" t="s">
        <v>62</v>
      </c>
      <c r="N1632" s="6" t="s">
        <v>19</v>
      </c>
      <c r="O1632" s="6" t="s">
        <v>62</v>
      </c>
    </row>
    <row r="1633" spans="7:15" x14ac:dyDescent="0.3">
      <c r="G1633" s="7" t="s">
        <v>19</v>
      </c>
      <c r="H1633" s="7" t="s">
        <v>62</v>
      </c>
      <c r="N1633" s="7" t="s">
        <v>19</v>
      </c>
      <c r="O1633" s="7" t="s">
        <v>62</v>
      </c>
    </row>
    <row r="1634" spans="7:15" x14ac:dyDescent="0.3">
      <c r="G1634" s="6" t="s">
        <v>19</v>
      </c>
      <c r="H1634" s="6" t="s">
        <v>62</v>
      </c>
      <c r="N1634" s="6" t="s">
        <v>19</v>
      </c>
      <c r="O1634" s="6" t="s">
        <v>62</v>
      </c>
    </row>
    <row r="1635" spans="7:15" x14ac:dyDescent="0.3">
      <c r="G1635" s="7" t="s">
        <v>19</v>
      </c>
      <c r="H1635" s="7" t="s">
        <v>103</v>
      </c>
      <c r="N1635" s="7" t="s">
        <v>19</v>
      </c>
      <c r="O1635" s="7" t="s">
        <v>103</v>
      </c>
    </row>
    <row r="1636" spans="7:15" x14ac:dyDescent="0.3">
      <c r="G1636" s="6" t="s">
        <v>19</v>
      </c>
      <c r="H1636" s="6" t="s">
        <v>72</v>
      </c>
      <c r="N1636" s="6" t="s">
        <v>19</v>
      </c>
      <c r="O1636" s="6" t="s">
        <v>72</v>
      </c>
    </row>
    <row r="1637" spans="7:15" x14ac:dyDescent="0.3">
      <c r="G1637" s="7" t="s">
        <v>19</v>
      </c>
      <c r="H1637" s="7" t="s">
        <v>77</v>
      </c>
      <c r="N1637" s="7" t="s">
        <v>19</v>
      </c>
      <c r="O1637" s="7" t="s">
        <v>77</v>
      </c>
    </row>
    <row r="1638" spans="7:15" x14ac:dyDescent="0.3">
      <c r="G1638" s="6" t="s">
        <v>19</v>
      </c>
      <c r="H1638" s="6" t="s">
        <v>77</v>
      </c>
      <c r="N1638" s="6" t="s">
        <v>19</v>
      </c>
      <c r="O1638" s="6" t="s">
        <v>77</v>
      </c>
    </row>
    <row r="1639" spans="7:15" x14ac:dyDescent="0.3">
      <c r="G1639" s="7" t="s">
        <v>19</v>
      </c>
      <c r="H1639" s="7" t="s">
        <v>108</v>
      </c>
      <c r="N1639" s="7" t="s">
        <v>19</v>
      </c>
      <c r="O1639" s="7" t="s">
        <v>108</v>
      </c>
    </row>
    <row r="1640" spans="7:15" x14ac:dyDescent="0.3">
      <c r="G1640" s="6" t="s">
        <v>19</v>
      </c>
      <c r="H1640" s="6" t="s">
        <v>292</v>
      </c>
      <c r="N1640" s="6" t="s">
        <v>19</v>
      </c>
      <c r="O1640" s="6" t="s">
        <v>292</v>
      </c>
    </row>
    <row r="1641" spans="7:15" x14ac:dyDescent="0.3">
      <c r="G1641" s="7" t="s">
        <v>19</v>
      </c>
      <c r="H1641" s="7" t="s">
        <v>24</v>
      </c>
      <c r="N1641" s="7" t="s">
        <v>19</v>
      </c>
      <c r="O1641" s="7" t="s">
        <v>24</v>
      </c>
    </row>
    <row r="1642" spans="7:15" x14ac:dyDescent="0.3">
      <c r="G1642" s="6" t="s">
        <v>19</v>
      </c>
      <c r="H1642" s="6" t="s">
        <v>28</v>
      </c>
      <c r="N1642" s="6" t="s">
        <v>19</v>
      </c>
      <c r="O1642" s="6" t="s">
        <v>28</v>
      </c>
    </row>
    <row r="1643" spans="7:15" x14ac:dyDescent="0.3">
      <c r="G1643" s="7" t="s">
        <v>19</v>
      </c>
      <c r="H1643" s="7" t="s">
        <v>147</v>
      </c>
      <c r="N1643" s="7" t="s">
        <v>19</v>
      </c>
      <c r="O1643" s="7" t="s">
        <v>147</v>
      </c>
    </row>
    <row r="1644" spans="7:15" x14ac:dyDescent="0.3">
      <c r="G1644" s="6" t="s">
        <v>19</v>
      </c>
      <c r="H1644" s="6" t="s">
        <v>147</v>
      </c>
      <c r="N1644" s="6" t="s">
        <v>19</v>
      </c>
      <c r="O1644" s="6" t="s">
        <v>147</v>
      </c>
    </row>
    <row r="1645" spans="7:15" x14ac:dyDescent="0.3">
      <c r="G1645" s="7" t="s">
        <v>19</v>
      </c>
      <c r="H1645" s="7" t="s">
        <v>334</v>
      </c>
      <c r="N1645" s="7" t="s">
        <v>19</v>
      </c>
      <c r="O1645" s="7" t="s">
        <v>334</v>
      </c>
    </row>
    <row r="1646" spans="7:15" x14ac:dyDescent="0.3">
      <c r="G1646" s="6" t="s">
        <v>19</v>
      </c>
      <c r="H1646" s="6" t="s">
        <v>33</v>
      </c>
      <c r="N1646" s="6" t="s">
        <v>19</v>
      </c>
      <c r="O1646" s="6" t="s">
        <v>33</v>
      </c>
    </row>
    <row r="1647" spans="7:15" x14ac:dyDescent="0.3">
      <c r="G1647" s="7" t="s">
        <v>19</v>
      </c>
      <c r="H1647" s="7" t="s">
        <v>33</v>
      </c>
      <c r="N1647" s="7" t="s">
        <v>19</v>
      </c>
      <c r="O1647" s="7" t="s">
        <v>33</v>
      </c>
    </row>
    <row r="1648" spans="7:15" x14ac:dyDescent="0.3">
      <c r="G1648" s="6" t="s">
        <v>19</v>
      </c>
      <c r="H1648" s="6" t="s">
        <v>33</v>
      </c>
      <c r="N1648" s="6" t="s">
        <v>19</v>
      </c>
      <c r="O1648" s="6" t="s">
        <v>33</v>
      </c>
    </row>
    <row r="1649" spans="7:15" x14ac:dyDescent="0.3">
      <c r="G1649" s="7" t="s">
        <v>19</v>
      </c>
      <c r="H1649" s="7" t="s">
        <v>33</v>
      </c>
      <c r="N1649" s="7" t="s">
        <v>19</v>
      </c>
      <c r="O1649" s="7" t="s">
        <v>33</v>
      </c>
    </row>
    <row r="1650" spans="7:15" x14ac:dyDescent="0.3">
      <c r="G1650" s="6" t="s">
        <v>19</v>
      </c>
      <c r="H1650" s="6" t="s">
        <v>33</v>
      </c>
      <c r="N1650" s="6" t="s">
        <v>19</v>
      </c>
      <c r="O1650" s="6" t="s">
        <v>33</v>
      </c>
    </row>
    <row r="1651" spans="7:15" x14ac:dyDescent="0.3">
      <c r="G1651" s="7" t="s">
        <v>19</v>
      </c>
      <c r="H1651" s="7" t="s">
        <v>33</v>
      </c>
      <c r="N1651" s="7" t="s">
        <v>19</v>
      </c>
      <c r="O1651" s="7" t="s">
        <v>33</v>
      </c>
    </row>
    <row r="1652" spans="7:15" x14ac:dyDescent="0.3">
      <c r="G1652" s="6" t="s">
        <v>19</v>
      </c>
      <c r="H1652" s="6" t="s">
        <v>364</v>
      </c>
      <c r="N1652" s="6" t="s">
        <v>19</v>
      </c>
      <c r="O1652" s="6" t="s">
        <v>364</v>
      </c>
    </row>
    <row r="1653" spans="7:15" x14ac:dyDescent="0.3">
      <c r="G1653" s="7" t="s">
        <v>19</v>
      </c>
      <c r="H1653" s="7" t="s">
        <v>188</v>
      </c>
      <c r="N1653" s="7" t="s">
        <v>19</v>
      </c>
      <c r="O1653" s="7" t="s">
        <v>188</v>
      </c>
    </row>
    <row r="1654" spans="7:15" x14ac:dyDescent="0.3">
      <c r="G1654" s="6" t="s">
        <v>19</v>
      </c>
      <c r="H1654" s="6" t="s">
        <v>158</v>
      </c>
      <c r="N1654" s="6" t="s">
        <v>19</v>
      </c>
      <c r="O1654" s="6" t="s">
        <v>158</v>
      </c>
    </row>
    <row r="1655" spans="7:15" x14ac:dyDescent="0.3">
      <c r="G1655" s="7" t="s">
        <v>19</v>
      </c>
      <c r="H1655" s="7" t="s">
        <v>55</v>
      </c>
      <c r="N1655" s="7" t="s">
        <v>19</v>
      </c>
      <c r="O1655" s="7" t="s">
        <v>55</v>
      </c>
    </row>
    <row r="1656" spans="7:15" x14ac:dyDescent="0.3">
      <c r="G1656" s="6" t="s">
        <v>19</v>
      </c>
      <c r="H1656" s="6" t="s">
        <v>62</v>
      </c>
      <c r="N1656" s="6" t="s">
        <v>19</v>
      </c>
      <c r="O1656" s="6" t="s">
        <v>62</v>
      </c>
    </row>
    <row r="1657" spans="7:15" x14ac:dyDescent="0.3">
      <c r="G1657" s="7" t="s">
        <v>19</v>
      </c>
      <c r="H1657" s="7" t="s">
        <v>62</v>
      </c>
      <c r="N1657" s="7" t="s">
        <v>19</v>
      </c>
      <c r="O1657" s="7" t="s">
        <v>62</v>
      </c>
    </row>
    <row r="1658" spans="7:15" x14ac:dyDescent="0.3">
      <c r="G1658" s="6" t="s">
        <v>19</v>
      </c>
      <c r="H1658" s="6" t="s">
        <v>62</v>
      </c>
      <c r="N1658" s="6" t="s">
        <v>19</v>
      </c>
      <c r="O1658" s="6" t="s">
        <v>62</v>
      </c>
    </row>
    <row r="1659" spans="7:15" x14ac:dyDescent="0.3">
      <c r="G1659" s="7" t="s">
        <v>19</v>
      </c>
      <c r="H1659" s="7" t="s">
        <v>72</v>
      </c>
      <c r="N1659" s="7" t="s">
        <v>19</v>
      </c>
      <c r="O1659" s="7" t="s">
        <v>72</v>
      </c>
    </row>
    <row r="1660" spans="7:15" x14ac:dyDescent="0.3">
      <c r="G1660" s="6" t="s">
        <v>19</v>
      </c>
      <c r="H1660" s="6" t="s">
        <v>72</v>
      </c>
      <c r="N1660" s="6" t="s">
        <v>19</v>
      </c>
      <c r="O1660" s="6" t="s">
        <v>72</v>
      </c>
    </row>
    <row r="1661" spans="7:15" x14ac:dyDescent="0.3">
      <c r="G1661" s="7" t="s">
        <v>19</v>
      </c>
      <c r="H1661" s="7" t="s">
        <v>72</v>
      </c>
      <c r="N1661" s="7" t="s">
        <v>19</v>
      </c>
      <c r="O1661" s="7" t="s">
        <v>72</v>
      </c>
    </row>
    <row r="1662" spans="7:15" x14ac:dyDescent="0.3">
      <c r="G1662" s="6" t="s">
        <v>19</v>
      </c>
      <c r="H1662" s="6" t="s">
        <v>74</v>
      </c>
      <c r="N1662" s="6" t="s">
        <v>19</v>
      </c>
      <c r="O1662" s="6" t="s">
        <v>74</v>
      </c>
    </row>
    <row r="1663" spans="7:15" x14ac:dyDescent="0.3">
      <c r="G1663" s="7" t="s">
        <v>19</v>
      </c>
      <c r="H1663" s="7" t="s">
        <v>77</v>
      </c>
      <c r="N1663" s="7" t="s">
        <v>19</v>
      </c>
      <c r="O1663" s="7" t="s">
        <v>77</v>
      </c>
    </row>
    <row r="1664" spans="7:15" x14ac:dyDescent="0.3">
      <c r="G1664" s="6" t="s">
        <v>19</v>
      </c>
      <c r="H1664" s="6" t="s">
        <v>108</v>
      </c>
      <c r="N1664" s="6" t="s">
        <v>19</v>
      </c>
      <c r="O1664" s="6" t="s">
        <v>108</v>
      </c>
    </row>
    <row r="1665" spans="7:15" x14ac:dyDescent="0.3">
      <c r="G1665" s="7" t="s">
        <v>19</v>
      </c>
      <c r="H1665" s="7" t="s">
        <v>24</v>
      </c>
      <c r="N1665" s="7" t="s">
        <v>19</v>
      </c>
      <c r="O1665" s="7" t="s">
        <v>24</v>
      </c>
    </row>
    <row r="1666" spans="7:15" x14ac:dyDescent="0.3">
      <c r="G1666" s="6" t="s">
        <v>19</v>
      </c>
      <c r="H1666" s="6" t="s">
        <v>24</v>
      </c>
      <c r="N1666" s="6" t="s">
        <v>19</v>
      </c>
      <c r="O1666" s="6" t="s">
        <v>24</v>
      </c>
    </row>
    <row r="1667" spans="7:15" x14ac:dyDescent="0.3">
      <c r="G1667" s="7" t="s">
        <v>19</v>
      </c>
      <c r="H1667" s="7" t="s">
        <v>331</v>
      </c>
      <c r="N1667" s="7" t="s">
        <v>19</v>
      </c>
      <c r="O1667" s="7" t="s">
        <v>331</v>
      </c>
    </row>
    <row r="1668" spans="7:15" x14ac:dyDescent="0.3">
      <c r="G1668" s="6" t="s">
        <v>19</v>
      </c>
      <c r="H1668" s="6" t="s">
        <v>33</v>
      </c>
      <c r="N1668" s="6" t="s">
        <v>19</v>
      </c>
      <c r="O1668" s="6" t="s">
        <v>33</v>
      </c>
    </row>
    <row r="1669" spans="7:15" x14ac:dyDescent="0.3">
      <c r="G1669" s="7" t="s">
        <v>19</v>
      </c>
      <c r="H1669" s="7" t="s">
        <v>33</v>
      </c>
      <c r="N1669" s="7" t="s">
        <v>19</v>
      </c>
      <c r="O1669" s="7" t="s">
        <v>33</v>
      </c>
    </row>
    <row r="1670" spans="7:15" x14ac:dyDescent="0.3">
      <c r="G1670" s="6" t="s">
        <v>19</v>
      </c>
      <c r="H1670" s="6" t="s">
        <v>33</v>
      </c>
      <c r="N1670" s="6" t="s">
        <v>19</v>
      </c>
      <c r="O1670" s="6" t="s">
        <v>33</v>
      </c>
    </row>
    <row r="1671" spans="7:15" x14ac:dyDescent="0.3">
      <c r="G1671" s="7" t="s">
        <v>19</v>
      </c>
      <c r="H1671" s="7" t="s">
        <v>33</v>
      </c>
      <c r="N1671" s="7" t="s">
        <v>19</v>
      </c>
      <c r="O1671" s="7" t="s">
        <v>33</v>
      </c>
    </row>
    <row r="1672" spans="7:15" x14ac:dyDescent="0.3">
      <c r="G1672" s="6" t="s">
        <v>19</v>
      </c>
      <c r="H1672" s="6" t="s">
        <v>33</v>
      </c>
      <c r="N1672" s="6" t="s">
        <v>19</v>
      </c>
      <c r="O1672" s="6" t="s">
        <v>33</v>
      </c>
    </row>
    <row r="1673" spans="7:15" x14ac:dyDescent="0.3">
      <c r="G1673" s="7" t="s">
        <v>19</v>
      </c>
      <c r="H1673" s="7" t="s">
        <v>33</v>
      </c>
      <c r="N1673" s="7" t="s">
        <v>19</v>
      </c>
      <c r="O1673" s="7" t="s">
        <v>33</v>
      </c>
    </row>
    <row r="1674" spans="7:15" x14ac:dyDescent="0.3">
      <c r="G1674" s="6" t="s">
        <v>19</v>
      </c>
      <c r="H1674" s="6" t="s">
        <v>52</v>
      </c>
      <c r="N1674" s="6" t="s">
        <v>19</v>
      </c>
      <c r="O1674" s="6" t="s">
        <v>52</v>
      </c>
    </row>
    <row r="1675" spans="7:15" x14ac:dyDescent="0.3">
      <c r="G1675" s="7" t="s">
        <v>19</v>
      </c>
      <c r="H1675" s="7" t="s">
        <v>55</v>
      </c>
      <c r="N1675" s="7" t="s">
        <v>19</v>
      </c>
      <c r="O1675" s="7" t="s">
        <v>55</v>
      </c>
    </row>
    <row r="1676" spans="7:15" x14ac:dyDescent="0.3">
      <c r="G1676" s="6" t="s">
        <v>19</v>
      </c>
      <c r="H1676" s="6" t="s">
        <v>55</v>
      </c>
      <c r="N1676" s="6" t="s">
        <v>19</v>
      </c>
      <c r="O1676" s="6" t="s">
        <v>55</v>
      </c>
    </row>
    <row r="1677" spans="7:15" x14ac:dyDescent="0.3">
      <c r="G1677" s="7" t="s">
        <v>19</v>
      </c>
      <c r="H1677" s="7" t="s">
        <v>55</v>
      </c>
      <c r="N1677" s="7" t="s">
        <v>19</v>
      </c>
      <c r="O1677" s="7" t="s">
        <v>55</v>
      </c>
    </row>
    <row r="1678" spans="7:15" x14ac:dyDescent="0.3">
      <c r="G1678" s="6" t="s">
        <v>19</v>
      </c>
      <c r="H1678" s="6" t="s">
        <v>59</v>
      </c>
      <c r="N1678" s="6" t="s">
        <v>19</v>
      </c>
      <c r="O1678" s="6" t="s">
        <v>59</v>
      </c>
    </row>
    <row r="1679" spans="7:15" x14ac:dyDescent="0.3">
      <c r="G1679" s="7" t="s">
        <v>19</v>
      </c>
      <c r="H1679" s="7" t="s">
        <v>62</v>
      </c>
      <c r="N1679" s="7" t="s">
        <v>19</v>
      </c>
      <c r="O1679" s="7" t="s">
        <v>62</v>
      </c>
    </row>
    <row r="1680" spans="7:15" x14ac:dyDescent="0.3">
      <c r="G1680" s="6" t="s">
        <v>19</v>
      </c>
      <c r="H1680" s="6" t="s">
        <v>62</v>
      </c>
      <c r="N1680" s="6" t="s">
        <v>19</v>
      </c>
      <c r="O1680" s="6" t="s">
        <v>62</v>
      </c>
    </row>
    <row r="1681" spans="7:15" x14ac:dyDescent="0.3">
      <c r="G1681" s="7" t="s">
        <v>19</v>
      </c>
      <c r="H1681" s="7" t="s">
        <v>62</v>
      </c>
      <c r="N1681" s="7" t="s">
        <v>19</v>
      </c>
      <c r="O1681" s="7" t="s">
        <v>62</v>
      </c>
    </row>
    <row r="1682" spans="7:15" x14ac:dyDescent="0.3">
      <c r="G1682" s="6" t="s">
        <v>19</v>
      </c>
      <c r="H1682" s="6" t="s">
        <v>62</v>
      </c>
      <c r="N1682" s="6" t="s">
        <v>19</v>
      </c>
      <c r="O1682" s="6" t="s">
        <v>62</v>
      </c>
    </row>
    <row r="1683" spans="7:15" x14ac:dyDescent="0.3">
      <c r="G1683" s="7" t="s">
        <v>19</v>
      </c>
      <c r="H1683" s="7" t="s">
        <v>62</v>
      </c>
      <c r="N1683" s="7" t="s">
        <v>19</v>
      </c>
      <c r="O1683" s="7" t="s">
        <v>62</v>
      </c>
    </row>
    <row r="1684" spans="7:15" x14ac:dyDescent="0.3">
      <c r="G1684" s="6" t="s">
        <v>19</v>
      </c>
      <c r="H1684" s="6" t="s">
        <v>77</v>
      </c>
      <c r="N1684" s="6" t="s">
        <v>19</v>
      </c>
      <c r="O1684" s="6" t="s">
        <v>77</v>
      </c>
    </row>
    <row r="1685" spans="7:15" x14ac:dyDescent="0.3">
      <c r="G1685" s="7" t="s">
        <v>19</v>
      </c>
      <c r="H1685" s="7" t="s">
        <v>108</v>
      </c>
      <c r="N1685" s="7" t="s">
        <v>19</v>
      </c>
      <c r="O1685" s="7" t="s">
        <v>108</v>
      </c>
    </row>
    <row r="1686" spans="7:15" x14ac:dyDescent="0.3">
      <c r="G1686" s="6" t="s">
        <v>19</v>
      </c>
      <c r="H1686" s="6" t="s">
        <v>110</v>
      </c>
      <c r="N1686" s="6" t="s">
        <v>19</v>
      </c>
      <c r="O1686" s="6" t="s">
        <v>110</v>
      </c>
    </row>
    <row r="1687" spans="7:15" x14ac:dyDescent="0.3">
      <c r="G1687" s="7" t="s">
        <v>19</v>
      </c>
      <c r="H1687" s="7" t="s">
        <v>82</v>
      </c>
      <c r="N1687" s="7" t="s">
        <v>19</v>
      </c>
      <c r="O1687" s="7" t="s">
        <v>82</v>
      </c>
    </row>
    <row r="1688" spans="7:15" x14ac:dyDescent="0.3">
      <c r="G1688" s="6" t="s">
        <v>19</v>
      </c>
      <c r="H1688" s="6" t="s">
        <v>115</v>
      </c>
      <c r="N1688" s="6" t="s">
        <v>19</v>
      </c>
      <c r="O1688" s="6" t="s">
        <v>115</v>
      </c>
    </row>
    <row r="1689" spans="7:15" x14ac:dyDescent="0.3">
      <c r="G1689" s="7" t="s">
        <v>19</v>
      </c>
      <c r="H1689" s="7" t="s">
        <v>115</v>
      </c>
      <c r="N1689" s="7" t="s">
        <v>19</v>
      </c>
      <c r="O1689" s="7" t="s">
        <v>115</v>
      </c>
    </row>
    <row r="1690" spans="7:15" x14ac:dyDescent="0.3">
      <c r="G1690" s="6" t="s">
        <v>19</v>
      </c>
      <c r="H1690" s="6" t="s">
        <v>24</v>
      </c>
      <c r="N1690" s="6" t="s">
        <v>19</v>
      </c>
      <c r="O1690" s="6" t="s">
        <v>24</v>
      </c>
    </row>
    <row r="1691" spans="7:15" x14ac:dyDescent="0.3">
      <c r="G1691" s="7" t="s">
        <v>19</v>
      </c>
      <c r="H1691" s="7" t="s">
        <v>208</v>
      </c>
      <c r="N1691" s="7" t="s">
        <v>19</v>
      </c>
      <c r="O1691" s="7" t="s">
        <v>208</v>
      </c>
    </row>
    <row r="1692" spans="7:15" x14ac:dyDescent="0.3">
      <c r="G1692" s="6" t="s">
        <v>19</v>
      </c>
      <c r="H1692" s="6" t="s">
        <v>334</v>
      </c>
      <c r="N1692" s="6" t="s">
        <v>19</v>
      </c>
      <c r="O1692" s="6" t="s">
        <v>334</v>
      </c>
    </row>
    <row r="1693" spans="7:15" x14ac:dyDescent="0.3">
      <c r="G1693" s="7" t="s">
        <v>19</v>
      </c>
      <c r="H1693" s="7" t="s">
        <v>33</v>
      </c>
      <c r="N1693" s="7" t="s">
        <v>19</v>
      </c>
      <c r="O1693" s="7" t="s">
        <v>33</v>
      </c>
    </row>
    <row r="1694" spans="7:15" x14ac:dyDescent="0.3">
      <c r="G1694" s="6" t="s">
        <v>19</v>
      </c>
      <c r="H1694" s="6" t="s">
        <v>33</v>
      </c>
      <c r="N1694" s="6" t="s">
        <v>19</v>
      </c>
      <c r="O1694" s="6" t="s">
        <v>33</v>
      </c>
    </row>
    <row r="1695" spans="7:15" x14ac:dyDescent="0.3">
      <c r="G1695" s="7" t="s">
        <v>19</v>
      </c>
      <c r="H1695" s="7" t="s">
        <v>33</v>
      </c>
      <c r="N1695" s="7" t="s">
        <v>19</v>
      </c>
      <c r="O1695" s="7" t="s">
        <v>33</v>
      </c>
    </row>
    <row r="1696" spans="7:15" x14ac:dyDescent="0.3">
      <c r="G1696" s="6" t="s">
        <v>19</v>
      </c>
      <c r="H1696" s="6" t="s">
        <v>33</v>
      </c>
      <c r="N1696" s="6" t="s">
        <v>19</v>
      </c>
      <c r="O1696" s="6" t="s">
        <v>33</v>
      </c>
    </row>
    <row r="1697" spans="7:15" x14ac:dyDescent="0.3">
      <c r="G1697" s="7" t="s">
        <v>19</v>
      </c>
      <c r="H1697" s="7" t="s">
        <v>33</v>
      </c>
      <c r="N1697" s="7" t="s">
        <v>19</v>
      </c>
      <c r="O1697" s="7" t="s">
        <v>33</v>
      </c>
    </row>
    <row r="1698" spans="7:15" x14ac:dyDescent="0.3">
      <c r="G1698" s="6" t="s">
        <v>19</v>
      </c>
      <c r="H1698" s="6" t="s">
        <v>33</v>
      </c>
      <c r="N1698" s="6" t="s">
        <v>19</v>
      </c>
      <c r="O1698" s="6" t="s">
        <v>33</v>
      </c>
    </row>
    <row r="1699" spans="7:15" x14ac:dyDescent="0.3">
      <c r="G1699" s="7" t="s">
        <v>19</v>
      </c>
      <c r="H1699" s="7" t="s">
        <v>33</v>
      </c>
      <c r="N1699" s="7" t="s">
        <v>19</v>
      </c>
      <c r="O1699" s="7" t="s">
        <v>33</v>
      </c>
    </row>
    <row r="1700" spans="7:15" x14ac:dyDescent="0.3">
      <c r="G1700" s="6" t="s">
        <v>19</v>
      </c>
      <c r="H1700" s="6" t="s">
        <v>33</v>
      </c>
      <c r="N1700" s="6" t="s">
        <v>19</v>
      </c>
      <c r="O1700" s="6" t="s">
        <v>33</v>
      </c>
    </row>
    <row r="1701" spans="7:15" x14ac:dyDescent="0.3">
      <c r="G1701" s="7" t="s">
        <v>19</v>
      </c>
      <c r="H1701" s="7" t="s">
        <v>33</v>
      </c>
      <c r="N1701" s="7" t="s">
        <v>19</v>
      </c>
      <c r="O1701" s="7" t="s">
        <v>33</v>
      </c>
    </row>
    <row r="1702" spans="7:15" x14ac:dyDescent="0.3">
      <c r="G1702" s="6" t="s">
        <v>19</v>
      </c>
      <c r="H1702" s="6" t="s">
        <v>33</v>
      </c>
      <c r="N1702" s="6" t="s">
        <v>19</v>
      </c>
      <c r="O1702" s="6" t="s">
        <v>33</v>
      </c>
    </row>
    <row r="1703" spans="7:15" x14ac:dyDescent="0.3">
      <c r="G1703" s="7" t="s">
        <v>19</v>
      </c>
      <c r="H1703" s="7" t="s">
        <v>33</v>
      </c>
      <c r="N1703" s="7" t="s">
        <v>19</v>
      </c>
      <c r="O1703" s="7" t="s">
        <v>33</v>
      </c>
    </row>
    <row r="1704" spans="7:15" x14ac:dyDescent="0.3">
      <c r="G1704" s="6" t="s">
        <v>19</v>
      </c>
      <c r="H1704" s="6" t="s">
        <v>33</v>
      </c>
      <c r="N1704" s="6" t="s">
        <v>19</v>
      </c>
      <c r="O1704" s="6" t="s">
        <v>33</v>
      </c>
    </row>
    <row r="1705" spans="7:15" x14ac:dyDescent="0.3">
      <c r="G1705" s="7" t="s">
        <v>19</v>
      </c>
      <c r="H1705" s="7" t="s">
        <v>55</v>
      </c>
      <c r="N1705" s="7" t="s">
        <v>19</v>
      </c>
      <c r="O1705" s="7" t="s">
        <v>55</v>
      </c>
    </row>
    <row r="1706" spans="7:15" x14ac:dyDescent="0.3">
      <c r="G1706" s="6" t="s">
        <v>19</v>
      </c>
      <c r="H1706" s="6" t="s">
        <v>59</v>
      </c>
      <c r="N1706" s="6" t="s">
        <v>19</v>
      </c>
      <c r="O1706" s="6" t="s">
        <v>59</v>
      </c>
    </row>
    <row r="1707" spans="7:15" x14ac:dyDescent="0.3">
      <c r="G1707" s="7" t="s">
        <v>19</v>
      </c>
      <c r="H1707" s="7" t="s">
        <v>59</v>
      </c>
      <c r="N1707" s="7" t="s">
        <v>19</v>
      </c>
      <c r="O1707" s="7" t="s">
        <v>59</v>
      </c>
    </row>
    <row r="1708" spans="7:15" x14ac:dyDescent="0.3">
      <c r="G1708" s="6" t="s">
        <v>19</v>
      </c>
      <c r="H1708" s="6" t="s">
        <v>59</v>
      </c>
      <c r="N1708" s="6" t="s">
        <v>19</v>
      </c>
      <c r="O1708" s="6" t="s">
        <v>59</v>
      </c>
    </row>
    <row r="1709" spans="7:15" x14ac:dyDescent="0.3">
      <c r="G1709" s="7" t="s">
        <v>19</v>
      </c>
      <c r="H1709" s="7" t="s">
        <v>62</v>
      </c>
      <c r="N1709" s="7" t="s">
        <v>19</v>
      </c>
      <c r="O1709" s="7" t="s">
        <v>62</v>
      </c>
    </row>
    <row r="1710" spans="7:15" x14ac:dyDescent="0.3">
      <c r="G1710" s="6" t="s">
        <v>19</v>
      </c>
      <c r="H1710" s="6" t="s">
        <v>62</v>
      </c>
      <c r="N1710" s="6" t="s">
        <v>19</v>
      </c>
      <c r="O1710" s="6" t="s">
        <v>62</v>
      </c>
    </row>
    <row r="1711" spans="7:15" x14ac:dyDescent="0.3">
      <c r="G1711" s="7" t="s">
        <v>19</v>
      </c>
      <c r="H1711" s="7" t="s">
        <v>62</v>
      </c>
      <c r="N1711" s="7" t="s">
        <v>19</v>
      </c>
      <c r="O1711" s="7" t="s">
        <v>62</v>
      </c>
    </row>
    <row r="1712" spans="7:15" x14ac:dyDescent="0.3">
      <c r="G1712" s="6" t="s">
        <v>19</v>
      </c>
      <c r="H1712" s="6" t="s">
        <v>62</v>
      </c>
      <c r="N1712" s="6" t="s">
        <v>19</v>
      </c>
      <c r="O1712" s="6" t="s">
        <v>62</v>
      </c>
    </row>
    <row r="1713" spans="7:15" x14ac:dyDescent="0.3">
      <c r="G1713" s="7" t="s">
        <v>19</v>
      </c>
      <c r="H1713" s="7" t="s">
        <v>103</v>
      </c>
      <c r="N1713" s="7" t="s">
        <v>19</v>
      </c>
      <c r="O1713" s="7" t="s">
        <v>103</v>
      </c>
    </row>
    <row r="1714" spans="7:15" x14ac:dyDescent="0.3">
      <c r="G1714" s="6" t="s">
        <v>19</v>
      </c>
      <c r="H1714" s="6" t="s">
        <v>77</v>
      </c>
      <c r="N1714" s="6" t="s">
        <v>19</v>
      </c>
      <c r="O1714" s="6" t="s">
        <v>77</v>
      </c>
    </row>
    <row r="1715" spans="7:15" x14ac:dyDescent="0.3">
      <c r="G1715" s="7" t="s">
        <v>19</v>
      </c>
      <c r="H1715" s="7" t="s">
        <v>77</v>
      </c>
      <c r="N1715" s="7" t="s">
        <v>19</v>
      </c>
      <c r="O1715" s="7" t="s">
        <v>77</v>
      </c>
    </row>
    <row r="1716" spans="7:15" x14ac:dyDescent="0.3">
      <c r="G1716" s="6" t="s">
        <v>19</v>
      </c>
      <c r="H1716" s="6" t="s">
        <v>77</v>
      </c>
      <c r="N1716" s="6" t="s">
        <v>19</v>
      </c>
      <c r="O1716" s="6" t="s">
        <v>77</v>
      </c>
    </row>
    <row r="1717" spans="7:15" x14ac:dyDescent="0.3">
      <c r="G1717" s="7" t="s">
        <v>19</v>
      </c>
      <c r="H1717" s="7" t="s">
        <v>1116</v>
      </c>
      <c r="N1717" s="7" t="s">
        <v>19</v>
      </c>
      <c r="O1717" s="7" t="s">
        <v>1116</v>
      </c>
    </row>
    <row r="1718" spans="7:15" x14ac:dyDescent="0.3">
      <c r="G1718" s="6" t="s">
        <v>19</v>
      </c>
      <c r="H1718" s="6" t="s">
        <v>268</v>
      </c>
      <c r="N1718" s="6" t="s">
        <v>19</v>
      </c>
      <c r="O1718" s="6" t="s">
        <v>268</v>
      </c>
    </row>
    <row r="1719" spans="7:15" x14ac:dyDescent="0.3">
      <c r="G1719" s="7" t="s">
        <v>19</v>
      </c>
      <c r="H1719" s="7" t="s">
        <v>108</v>
      </c>
      <c r="N1719" s="7" t="s">
        <v>19</v>
      </c>
      <c r="O1719" s="7" t="s">
        <v>108</v>
      </c>
    </row>
    <row r="1720" spans="7:15" x14ac:dyDescent="0.3">
      <c r="G1720" s="6" t="s">
        <v>19</v>
      </c>
      <c r="H1720" s="6" t="s">
        <v>115</v>
      </c>
      <c r="N1720" s="6" t="s">
        <v>19</v>
      </c>
      <c r="O1720" s="6" t="s">
        <v>115</v>
      </c>
    </row>
    <row r="1721" spans="7:15" x14ac:dyDescent="0.3">
      <c r="G1721" s="7" t="s">
        <v>19</v>
      </c>
      <c r="H1721" s="7" t="s">
        <v>115</v>
      </c>
      <c r="N1721" s="7" t="s">
        <v>19</v>
      </c>
      <c r="O1721" s="7" t="s">
        <v>115</v>
      </c>
    </row>
    <row r="1722" spans="7:15" x14ac:dyDescent="0.3">
      <c r="G1722" s="6" t="s">
        <v>19</v>
      </c>
      <c r="H1722" s="6" t="s">
        <v>115</v>
      </c>
      <c r="N1722" s="6" t="s">
        <v>19</v>
      </c>
      <c r="O1722" s="6" t="s">
        <v>115</v>
      </c>
    </row>
    <row r="1723" spans="7:15" x14ac:dyDescent="0.3">
      <c r="G1723" s="7" t="s">
        <v>19</v>
      </c>
      <c r="H1723" s="7" t="s">
        <v>115</v>
      </c>
      <c r="N1723" s="7" t="s">
        <v>19</v>
      </c>
      <c r="O1723" s="7" t="s">
        <v>115</v>
      </c>
    </row>
    <row r="1724" spans="7:15" x14ac:dyDescent="0.3">
      <c r="G1724" s="6" t="s">
        <v>19</v>
      </c>
      <c r="H1724" s="6" t="s">
        <v>24</v>
      </c>
      <c r="N1724" s="6" t="s">
        <v>19</v>
      </c>
      <c r="O1724" s="6" t="s">
        <v>24</v>
      </c>
    </row>
    <row r="1725" spans="7:15" x14ac:dyDescent="0.3">
      <c r="G1725" s="7" t="s">
        <v>19</v>
      </c>
      <c r="H1725" s="7" t="s">
        <v>24</v>
      </c>
      <c r="N1725" s="7" t="s">
        <v>19</v>
      </c>
      <c r="O1725" s="7" t="s">
        <v>24</v>
      </c>
    </row>
    <row r="1726" spans="7:15" x14ac:dyDescent="0.3">
      <c r="G1726" s="6" t="s">
        <v>19</v>
      </c>
      <c r="H1726" s="6" t="s">
        <v>147</v>
      </c>
      <c r="N1726" s="6" t="s">
        <v>19</v>
      </c>
      <c r="O1726" s="6" t="s">
        <v>147</v>
      </c>
    </row>
    <row r="1727" spans="7:15" x14ac:dyDescent="0.3">
      <c r="G1727" s="7" t="s">
        <v>19</v>
      </c>
      <c r="H1727" s="7" t="s">
        <v>33</v>
      </c>
      <c r="N1727" s="7" t="s">
        <v>19</v>
      </c>
      <c r="O1727" s="7" t="s">
        <v>33</v>
      </c>
    </row>
    <row r="1728" spans="7:15" x14ac:dyDescent="0.3">
      <c r="G1728" s="6" t="s">
        <v>19</v>
      </c>
      <c r="H1728" s="6" t="s">
        <v>33</v>
      </c>
      <c r="N1728" s="6" t="s">
        <v>19</v>
      </c>
      <c r="O1728" s="6" t="s">
        <v>33</v>
      </c>
    </row>
    <row r="1729" spans="7:15" x14ac:dyDescent="0.3">
      <c r="G1729" s="7" t="s">
        <v>19</v>
      </c>
      <c r="H1729" s="7" t="s">
        <v>33</v>
      </c>
      <c r="N1729" s="7" t="s">
        <v>19</v>
      </c>
      <c r="O1729" s="7" t="s">
        <v>33</v>
      </c>
    </row>
    <row r="1730" spans="7:15" x14ac:dyDescent="0.3">
      <c r="G1730" s="6" t="s">
        <v>19</v>
      </c>
      <c r="H1730" s="6" t="s">
        <v>33</v>
      </c>
      <c r="N1730" s="6" t="s">
        <v>19</v>
      </c>
      <c r="O1730" s="6" t="s">
        <v>33</v>
      </c>
    </row>
    <row r="1731" spans="7:15" x14ac:dyDescent="0.3">
      <c r="G1731" s="7" t="s">
        <v>19</v>
      </c>
      <c r="H1731" s="7" t="s">
        <v>33</v>
      </c>
      <c r="N1731" s="7" t="s">
        <v>19</v>
      </c>
      <c r="O1731" s="7" t="s">
        <v>33</v>
      </c>
    </row>
    <row r="1732" spans="7:15" x14ac:dyDescent="0.3">
      <c r="G1732" s="6" t="s">
        <v>19</v>
      </c>
      <c r="H1732" s="6" t="s">
        <v>33</v>
      </c>
      <c r="N1732" s="6" t="s">
        <v>19</v>
      </c>
      <c r="O1732" s="6" t="s">
        <v>33</v>
      </c>
    </row>
    <row r="1733" spans="7:15" x14ac:dyDescent="0.3">
      <c r="G1733" s="7" t="s">
        <v>19</v>
      </c>
      <c r="H1733" s="7" t="s">
        <v>33</v>
      </c>
      <c r="N1733" s="7" t="s">
        <v>19</v>
      </c>
      <c r="O1733" s="7" t="s">
        <v>33</v>
      </c>
    </row>
    <row r="1734" spans="7:15" x14ac:dyDescent="0.3">
      <c r="G1734" s="6" t="s">
        <v>19</v>
      </c>
      <c r="H1734" s="6" t="s">
        <v>33</v>
      </c>
      <c r="N1734" s="6" t="s">
        <v>19</v>
      </c>
      <c r="O1734" s="6" t="s">
        <v>33</v>
      </c>
    </row>
    <row r="1735" spans="7:15" x14ac:dyDescent="0.3">
      <c r="G1735" s="7" t="s">
        <v>19</v>
      </c>
      <c r="H1735" s="7" t="s">
        <v>33</v>
      </c>
      <c r="N1735" s="7" t="s">
        <v>19</v>
      </c>
      <c r="O1735" s="7" t="s">
        <v>33</v>
      </c>
    </row>
    <row r="1736" spans="7:15" x14ac:dyDescent="0.3">
      <c r="G1736" s="6" t="s">
        <v>19</v>
      </c>
      <c r="H1736" s="6" t="s">
        <v>33</v>
      </c>
      <c r="N1736" s="6" t="s">
        <v>19</v>
      </c>
      <c r="O1736" s="6" t="s">
        <v>33</v>
      </c>
    </row>
    <row r="1737" spans="7:15" x14ac:dyDescent="0.3">
      <c r="G1737" s="7" t="s">
        <v>19</v>
      </c>
      <c r="H1737" s="7" t="s">
        <v>33</v>
      </c>
      <c r="N1737" s="7" t="s">
        <v>19</v>
      </c>
      <c r="O1737" s="7" t="s">
        <v>33</v>
      </c>
    </row>
    <row r="1738" spans="7:15" x14ac:dyDescent="0.3">
      <c r="G1738" s="6" t="s">
        <v>19</v>
      </c>
      <c r="H1738" s="6" t="s">
        <v>33</v>
      </c>
      <c r="N1738" s="6" t="s">
        <v>19</v>
      </c>
      <c r="O1738" s="6" t="s">
        <v>33</v>
      </c>
    </row>
    <row r="1739" spans="7:15" x14ac:dyDescent="0.3">
      <c r="G1739" s="7" t="s">
        <v>19</v>
      </c>
      <c r="H1739" s="7" t="s">
        <v>188</v>
      </c>
      <c r="N1739" s="7" t="s">
        <v>19</v>
      </c>
      <c r="O1739" s="7" t="s">
        <v>188</v>
      </c>
    </row>
    <row r="1740" spans="7:15" x14ac:dyDescent="0.3">
      <c r="G1740" s="6" t="s">
        <v>19</v>
      </c>
      <c r="H1740" s="6" t="s">
        <v>188</v>
      </c>
      <c r="N1740" s="6" t="s">
        <v>19</v>
      </c>
      <c r="O1740" s="6" t="s">
        <v>188</v>
      </c>
    </row>
    <row r="1741" spans="7:15" x14ac:dyDescent="0.3">
      <c r="G1741" s="7" t="s">
        <v>19</v>
      </c>
      <c r="H1741" s="7" t="s">
        <v>55</v>
      </c>
      <c r="N1741" s="7" t="s">
        <v>19</v>
      </c>
      <c r="O1741" s="7" t="s">
        <v>55</v>
      </c>
    </row>
    <row r="1742" spans="7:15" x14ac:dyDescent="0.3">
      <c r="G1742" s="6" t="s">
        <v>19</v>
      </c>
      <c r="H1742" s="6" t="s">
        <v>55</v>
      </c>
      <c r="N1742" s="6" t="s">
        <v>19</v>
      </c>
      <c r="O1742" s="6" t="s">
        <v>55</v>
      </c>
    </row>
    <row r="1743" spans="7:15" x14ac:dyDescent="0.3">
      <c r="G1743" s="7" t="s">
        <v>19</v>
      </c>
      <c r="H1743" s="7" t="s">
        <v>55</v>
      </c>
      <c r="N1743" s="7" t="s">
        <v>19</v>
      </c>
      <c r="O1743" s="7" t="s">
        <v>55</v>
      </c>
    </row>
    <row r="1744" spans="7:15" x14ac:dyDescent="0.3">
      <c r="G1744" s="6" t="s">
        <v>19</v>
      </c>
      <c r="H1744" s="6" t="s">
        <v>59</v>
      </c>
      <c r="N1744" s="6" t="s">
        <v>19</v>
      </c>
      <c r="O1744" s="6" t="s">
        <v>59</v>
      </c>
    </row>
    <row r="1745" spans="7:15" x14ac:dyDescent="0.3">
      <c r="G1745" s="7" t="s">
        <v>19</v>
      </c>
      <c r="H1745" s="7" t="s">
        <v>59</v>
      </c>
      <c r="N1745" s="7" t="s">
        <v>19</v>
      </c>
      <c r="O1745" s="7" t="s">
        <v>59</v>
      </c>
    </row>
    <row r="1746" spans="7:15" x14ac:dyDescent="0.3">
      <c r="G1746" s="6" t="s">
        <v>19</v>
      </c>
      <c r="H1746" s="6" t="s">
        <v>62</v>
      </c>
      <c r="N1746" s="6" t="s">
        <v>19</v>
      </c>
      <c r="O1746" s="6" t="s">
        <v>62</v>
      </c>
    </row>
    <row r="1747" spans="7:15" x14ac:dyDescent="0.3">
      <c r="G1747" s="7" t="s">
        <v>19</v>
      </c>
      <c r="H1747" s="7" t="s">
        <v>103</v>
      </c>
      <c r="N1747" s="7" t="s">
        <v>19</v>
      </c>
      <c r="O1747" s="7" t="s">
        <v>103</v>
      </c>
    </row>
    <row r="1748" spans="7:15" x14ac:dyDescent="0.3">
      <c r="G1748" s="6" t="s">
        <v>19</v>
      </c>
      <c r="H1748" s="6" t="s">
        <v>201</v>
      </c>
      <c r="N1748" s="6" t="s">
        <v>19</v>
      </c>
      <c r="O1748" s="6" t="s">
        <v>201</v>
      </c>
    </row>
    <row r="1749" spans="7:15" x14ac:dyDescent="0.3">
      <c r="G1749" s="7" t="s">
        <v>19</v>
      </c>
      <c r="H1749" s="7" t="s">
        <v>72</v>
      </c>
      <c r="N1749" s="7" t="s">
        <v>19</v>
      </c>
      <c r="O1749" s="7" t="s">
        <v>72</v>
      </c>
    </row>
    <row r="1750" spans="7:15" x14ac:dyDescent="0.3">
      <c r="G1750" s="6" t="s">
        <v>19</v>
      </c>
      <c r="H1750" s="6" t="s">
        <v>72</v>
      </c>
      <c r="N1750" s="6" t="s">
        <v>19</v>
      </c>
      <c r="O1750" s="6" t="s">
        <v>72</v>
      </c>
    </row>
    <row r="1751" spans="7:15" x14ac:dyDescent="0.3">
      <c r="G1751" s="7" t="s">
        <v>19</v>
      </c>
      <c r="H1751" s="7" t="s">
        <v>77</v>
      </c>
      <c r="N1751" s="7" t="s">
        <v>19</v>
      </c>
      <c r="O1751" s="7" t="s">
        <v>77</v>
      </c>
    </row>
    <row r="1752" spans="7:15" x14ac:dyDescent="0.3">
      <c r="G1752" s="6" t="s">
        <v>19</v>
      </c>
      <c r="H1752" s="6" t="s">
        <v>309</v>
      </c>
      <c r="N1752" s="6" t="s">
        <v>19</v>
      </c>
      <c r="O1752" s="6" t="s">
        <v>309</v>
      </c>
    </row>
    <row r="1753" spans="7:15" x14ac:dyDescent="0.3">
      <c r="G1753" s="7" t="s">
        <v>19</v>
      </c>
      <c r="H1753" s="7" t="s">
        <v>110</v>
      </c>
      <c r="N1753" s="7" t="s">
        <v>19</v>
      </c>
      <c r="O1753" s="7" t="s">
        <v>110</v>
      </c>
    </row>
    <row r="1754" spans="7:15" x14ac:dyDescent="0.3">
      <c r="G1754" s="6" t="s">
        <v>19</v>
      </c>
      <c r="H1754" s="6" t="s">
        <v>110</v>
      </c>
      <c r="N1754" s="6" t="s">
        <v>19</v>
      </c>
      <c r="O1754" s="6" t="s">
        <v>110</v>
      </c>
    </row>
    <row r="1755" spans="7:15" x14ac:dyDescent="0.3">
      <c r="G1755" s="7" t="s">
        <v>19</v>
      </c>
      <c r="H1755" s="7" t="s">
        <v>82</v>
      </c>
      <c r="N1755" s="7" t="s">
        <v>19</v>
      </c>
      <c r="O1755" s="7" t="s">
        <v>82</v>
      </c>
    </row>
    <row r="1756" spans="7:15" x14ac:dyDescent="0.3">
      <c r="G1756" s="6" t="s">
        <v>19</v>
      </c>
      <c r="H1756" s="6" t="s">
        <v>115</v>
      </c>
      <c r="N1756" s="6" t="s">
        <v>19</v>
      </c>
      <c r="O1756" s="6" t="s">
        <v>115</v>
      </c>
    </row>
    <row r="1757" spans="7:15" x14ac:dyDescent="0.3">
      <c r="G1757" s="7" t="s">
        <v>19</v>
      </c>
      <c r="H1757" s="7" t="s">
        <v>115</v>
      </c>
      <c r="N1757" s="7" t="s">
        <v>19</v>
      </c>
      <c r="O1757" s="7" t="s">
        <v>115</v>
      </c>
    </row>
    <row r="1758" spans="7:15" x14ac:dyDescent="0.3">
      <c r="G1758" s="6" t="s">
        <v>19</v>
      </c>
      <c r="H1758" s="6" t="s">
        <v>115</v>
      </c>
      <c r="N1758" s="6" t="s">
        <v>19</v>
      </c>
      <c r="O1758" s="6" t="s">
        <v>115</v>
      </c>
    </row>
    <row r="1759" spans="7:15" x14ac:dyDescent="0.3">
      <c r="G1759" s="7" t="s">
        <v>19</v>
      </c>
      <c r="H1759" s="7" t="s">
        <v>24</v>
      </c>
      <c r="N1759" s="7" t="s">
        <v>19</v>
      </c>
      <c r="O1759" s="7" t="s">
        <v>24</v>
      </c>
    </row>
    <row r="1760" spans="7:15" x14ac:dyDescent="0.3">
      <c r="G1760" s="6" t="s">
        <v>19</v>
      </c>
      <c r="H1760" s="6" t="s">
        <v>24</v>
      </c>
      <c r="N1760" s="6" t="s">
        <v>19</v>
      </c>
      <c r="O1760" s="6" t="s">
        <v>24</v>
      </c>
    </row>
    <row r="1761" spans="7:15" x14ac:dyDescent="0.3">
      <c r="G1761" s="7" t="s">
        <v>19</v>
      </c>
      <c r="H1761" s="7" t="s">
        <v>587</v>
      </c>
      <c r="N1761" s="7" t="s">
        <v>19</v>
      </c>
      <c r="O1761" s="7" t="s">
        <v>587</v>
      </c>
    </row>
    <row r="1762" spans="7:15" x14ac:dyDescent="0.3">
      <c r="G1762" s="6" t="s">
        <v>19</v>
      </c>
      <c r="H1762" s="6" t="s">
        <v>147</v>
      </c>
      <c r="N1762" s="6" t="s">
        <v>19</v>
      </c>
      <c r="O1762" s="6" t="s">
        <v>147</v>
      </c>
    </row>
    <row r="1763" spans="7:15" x14ac:dyDescent="0.3">
      <c r="G1763" s="7" t="s">
        <v>19</v>
      </c>
      <c r="H1763" s="7" t="s">
        <v>147</v>
      </c>
      <c r="N1763" s="7" t="s">
        <v>19</v>
      </c>
      <c r="O1763" s="7" t="s">
        <v>147</v>
      </c>
    </row>
    <row r="1764" spans="7:15" x14ac:dyDescent="0.3">
      <c r="G1764" s="6" t="s">
        <v>19</v>
      </c>
      <c r="H1764" s="6" t="s">
        <v>33</v>
      </c>
      <c r="N1764" s="6" t="s">
        <v>19</v>
      </c>
      <c r="O1764" s="6" t="s">
        <v>33</v>
      </c>
    </row>
    <row r="1765" spans="7:15" x14ac:dyDescent="0.3">
      <c r="G1765" s="7" t="s">
        <v>19</v>
      </c>
      <c r="H1765" s="7" t="s">
        <v>33</v>
      </c>
      <c r="N1765" s="7" t="s">
        <v>19</v>
      </c>
      <c r="O1765" s="7" t="s">
        <v>33</v>
      </c>
    </row>
    <row r="1766" spans="7:15" x14ac:dyDescent="0.3">
      <c r="G1766" s="6" t="s">
        <v>19</v>
      </c>
      <c r="H1766" s="6" t="s">
        <v>33</v>
      </c>
      <c r="N1766" s="6" t="s">
        <v>19</v>
      </c>
      <c r="O1766" s="6" t="s">
        <v>33</v>
      </c>
    </row>
    <row r="1767" spans="7:15" x14ac:dyDescent="0.3">
      <c r="G1767" s="7" t="s">
        <v>19</v>
      </c>
      <c r="H1767" s="7" t="s">
        <v>33</v>
      </c>
      <c r="N1767" s="7" t="s">
        <v>19</v>
      </c>
      <c r="O1767" s="7" t="s">
        <v>33</v>
      </c>
    </row>
    <row r="1768" spans="7:15" x14ac:dyDescent="0.3">
      <c r="G1768" s="6" t="s">
        <v>19</v>
      </c>
      <c r="H1768" s="6" t="s">
        <v>33</v>
      </c>
      <c r="N1768" s="6" t="s">
        <v>19</v>
      </c>
      <c r="O1768" s="6" t="s">
        <v>33</v>
      </c>
    </row>
    <row r="1769" spans="7:15" x14ac:dyDescent="0.3">
      <c r="G1769" s="7" t="s">
        <v>19</v>
      </c>
      <c r="H1769" s="7" t="s">
        <v>33</v>
      </c>
      <c r="N1769" s="7" t="s">
        <v>19</v>
      </c>
      <c r="O1769" s="7" t="s">
        <v>33</v>
      </c>
    </row>
    <row r="1770" spans="7:15" x14ac:dyDescent="0.3">
      <c r="G1770" s="6" t="s">
        <v>19</v>
      </c>
      <c r="H1770" s="6" t="s">
        <v>33</v>
      </c>
      <c r="N1770" s="6" t="s">
        <v>19</v>
      </c>
      <c r="O1770" s="6" t="s">
        <v>33</v>
      </c>
    </row>
    <row r="1771" spans="7:15" x14ac:dyDescent="0.3">
      <c r="G1771" s="7" t="s">
        <v>19</v>
      </c>
      <c r="H1771" s="7" t="s">
        <v>33</v>
      </c>
      <c r="N1771" s="7" t="s">
        <v>19</v>
      </c>
      <c r="O1771" s="7" t="s">
        <v>33</v>
      </c>
    </row>
    <row r="1772" spans="7:15" x14ac:dyDescent="0.3">
      <c r="G1772" s="6" t="s">
        <v>19</v>
      </c>
      <c r="H1772" s="6" t="s">
        <v>416</v>
      </c>
      <c r="N1772" s="6" t="s">
        <v>19</v>
      </c>
      <c r="O1772" s="6" t="s">
        <v>416</v>
      </c>
    </row>
    <row r="1773" spans="7:15" x14ac:dyDescent="0.3">
      <c r="G1773" s="7" t="s">
        <v>19</v>
      </c>
      <c r="H1773" s="7" t="s">
        <v>59</v>
      </c>
      <c r="N1773" s="7" t="s">
        <v>19</v>
      </c>
      <c r="O1773" s="7" t="s">
        <v>59</v>
      </c>
    </row>
    <row r="1774" spans="7:15" x14ac:dyDescent="0.3">
      <c r="G1774" s="6" t="s">
        <v>19</v>
      </c>
      <c r="H1774" s="6" t="s">
        <v>59</v>
      </c>
      <c r="N1774" s="6" t="s">
        <v>19</v>
      </c>
      <c r="O1774" s="6" t="s">
        <v>59</v>
      </c>
    </row>
    <row r="1775" spans="7:15" x14ac:dyDescent="0.3">
      <c r="G1775" s="7" t="s">
        <v>19</v>
      </c>
      <c r="H1775" s="7" t="s">
        <v>59</v>
      </c>
      <c r="N1775" s="7" t="s">
        <v>19</v>
      </c>
      <c r="O1775" s="7" t="s">
        <v>59</v>
      </c>
    </row>
    <row r="1776" spans="7:15" x14ac:dyDescent="0.3">
      <c r="G1776" s="6" t="s">
        <v>19</v>
      </c>
      <c r="H1776" s="6" t="s">
        <v>62</v>
      </c>
      <c r="N1776" s="6" t="s">
        <v>19</v>
      </c>
      <c r="O1776" s="6" t="s">
        <v>62</v>
      </c>
    </row>
    <row r="1777" spans="7:15" x14ac:dyDescent="0.3">
      <c r="G1777" s="7" t="s">
        <v>19</v>
      </c>
      <c r="H1777" s="7" t="s">
        <v>62</v>
      </c>
      <c r="N1777" s="7" t="s">
        <v>19</v>
      </c>
      <c r="O1777" s="7" t="s">
        <v>62</v>
      </c>
    </row>
    <row r="1778" spans="7:15" x14ac:dyDescent="0.3">
      <c r="G1778" s="6" t="s">
        <v>19</v>
      </c>
      <c r="H1778" s="6" t="s">
        <v>62</v>
      </c>
      <c r="N1778" s="6" t="s">
        <v>19</v>
      </c>
      <c r="O1778" s="6" t="s">
        <v>62</v>
      </c>
    </row>
    <row r="1779" spans="7:15" x14ac:dyDescent="0.3">
      <c r="G1779" s="7" t="s">
        <v>19</v>
      </c>
      <c r="H1779" s="7" t="s">
        <v>62</v>
      </c>
      <c r="N1779" s="7" t="s">
        <v>19</v>
      </c>
      <c r="O1779" s="7" t="s">
        <v>62</v>
      </c>
    </row>
    <row r="1780" spans="7:15" x14ac:dyDescent="0.3">
      <c r="G1780" s="6" t="s">
        <v>19</v>
      </c>
      <c r="H1780" s="6" t="s">
        <v>62</v>
      </c>
      <c r="N1780" s="6" t="s">
        <v>19</v>
      </c>
      <c r="O1780" s="6" t="s">
        <v>62</v>
      </c>
    </row>
    <row r="1781" spans="7:15" x14ac:dyDescent="0.3">
      <c r="G1781" s="7" t="s">
        <v>19</v>
      </c>
      <c r="H1781" s="7" t="s">
        <v>62</v>
      </c>
      <c r="N1781" s="7" t="s">
        <v>19</v>
      </c>
      <c r="O1781" s="7" t="s">
        <v>62</v>
      </c>
    </row>
    <row r="1782" spans="7:15" x14ac:dyDescent="0.3">
      <c r="G1782" s="6" t="s">
        <v>19</v>
      </c>
      <c r="H1782" s="6" t="s">
        <v>103</v>
      </c>
      <c r="N1782" s="6" t="s">
        <v>19</v>
      </c>
      <c r="O1782" s="6" t="s">
        <v>103</v>
      </c>
    </row>
    <row r="1783" spans="7:15" x14ac:dyDescent="0.3">
      <c r="G1783" s="7" t="s">
        <v>19</v>
      </c>
      <c r="H1783" s="7" t="s">
        <v>77</v>
      </c>
      <c r="N1783" s="7" t="s">
        <v>19</v>
      </c>
      <c r="O1783" s="7" t="s">
        <v>77</v>
      </c>
    </row>
    <row r="1784" spans="7:15" x14ac:dyDescent="0.3">
      <c r="G1784" s="6" t="s">
        <v>19</v>
      </c>
      <c r="H1784" s="6" t="s">
        <v>243</v>
      </c>
      <c r="N1784" s="6" t="s">
        <v>19</v>
      </c>
      <c r="O1784" s="6" t="s">
        <v>243</v>
      </c>
    </row>
    <row r="1785" spans="7:15" x14ac:dyDescent="0.3">
      <c r="G1785" s="7" t="s">
        <v>19</v>
      </c>
      <c r="H1785" s="7" t="s">
        <v>115</v>
      </c>
      <c r="N1785" s="7" t="s">
        <v>19</v>
      </c>
      <c r="O1785" s="7" t="s">
        <v>115</v>
      </c>
    </row>
    <row r="1786" spans="7:15" x14ac:dyDescent="0.3">
      <c r="G1786" s="6" t="s">
        <v>19</v>
      </c>
      <c r="H1786" s="6" t="s">
        <v>24</v>
      </c>
      <c r="N1786" s="6" t="s">
        <v>19</v>
      </c>
      <c r="O1786" s="6" t="s">
        <v>24</v>
      </c>
    </row>
    <row r="1787" spans="7:15" x14ac:dyDescent="0.3">
      <c r="G1787" s="7" t="s">
        <v>19</v>
      </c>
      <c r="H1787" s="7" t="s">
        <v>28</v>
      </c>
      <c r="N1787" s="7" t="s">
        <v>19</v>
      </c>
      <c r="O1787" s="7" t="s">
        <v>28</v>
      </c>
    </row>
    <row r="1788" spans="7:15" x14ac:dyDescent="0.3">
      <c r="G1788" s="6" t="s">
        <v>19</v>
      </c>
      <c r="H1788" s="6" t="s">
        <v>949</v>
      </c>
      <c r="N1788" s="6" t="s">
        <v>19</v>
      </c>
      <c r="O1788" s="6" t="s">
        <v>949</v>
      </c>
    </row>
    <row r="1789" spans="7:15" x14ac:dyDescent="0.3">
      <c r="G1789" s="7" t="s">
        <v>19</v>
      </c>
      <c r="H1789" s="7" t="s">
        <v>33</v>
      </c>
      <c r="N1789" s="7" t="s">
        <v>19</v>
      </c>
      <c r="O1789" s="7" t="s">
        <v>33</v>
      </c>
    </row>
    <row r="1790" spans="7:15" x14ac:dyDescent="0.3">
      <c r="G1790" s="6" t="s">
        <v>19</v>
      </c>
      <c r="H1790" s="6" t="s">
        <v>33</v>
      </c>
      <c r="N1790" s="6" t="s">
        <v>19</v>
      </c>
      <c r="O1790" s="6" t="s">
        <v>33</v>
      </c>
    </row>
    <row r="1791" spans="7:15" x14ac:dyDescent="0.3">
      <c r="G1791" s="7" t="s">
        <v>19</v>
      </c>
      <c r="H1791" s="7" t="s">
        <v>33</v>
      </c>
      <c r="N1791" s="7" t="s">
        <v>19</v>
      </c>
      <c r="O1791" s="7" t="s">
        <v>33</v>
      </c>
    </row>
    <row r="1792" spans="7:15" x14ac:dyDescent="0.3">
      <c r="G1792" s="6" t="s">
        <v>19</v>
      </c>
      <c r="H1792" s="6" t="s">
        <v>33</v>
      </c>
      <c r="N1792" s="6" t="s">
        <v>19</v>
      </c>
      <c r="O1792" s="6" t="s">
        <v>33</v>
      </c>
    </row>
    <row r="1793" spans="7:15" x14ac:dyDescent="0.3">
      <c r="G1793" s="7" t="s">
        <v>19</v>
      </c>
      <c r="H1793" s="7" t="s">
        <v>33</v>
      </c>
      <c r="N1793" s="7" t="s">
        <v>19</v>
      </c>
      <c r="O1793" s="7" t="s">
        <v>33</v>
      </c>
    </row>
    <row r="1794" spans="7:15" x14ac:dyDescent="0.3">
      <c r="G1794" s="6" t="s">
        <v>19</v>
      </c>
      <c r="H1794" s="6" t="s">
        <v>33</v>
      </c>
      <c r="N1794" s="6" t="s">
        <v>19</v>
      </c>
      <c r="O1794" s="6" t="s">
        <v>33</v>
      </c>
    </row>
    <row r="1795" spans="7:15" x14ac:dyDescent="0.3">
      <c r="G1795" s="7" t="s">
        <v>19</v>
      </c>
      <c r="H1795" s="7" t="s">
        <v>33</v>
      </c>
      <c r="N1795" s="7" t="s">
        <v>19</v>
      </c>
      <c r="O1795" s="7" t="s">
        <v>33</v>
      </c>
    </row>
    <row r="1796" spans="7:15" x14ac:dyDescent="0.3">
      <c r="G1796" s="6" t="s">
        <v>19</v>
      </c>
      <c r="H1796" s="6" t="s">
        <v>258</v>
      </c>
      <c r="N1796" s="6" t="s">
        <v>19</v>
      </c>
      <c r="O1796" s="6" t="s">
        <v>258</v>
      </c>
    </row>
    <row r="1797" spans="7:15" x14ac:dyDescent="0.3">
      <c r="G1797" s="7" t="s">
        <v>19</v>
      </c>
      <c r="H1797" s="7" t="s">
        <v>98</v>
      </c>
      <c r="N1797" s="7" t="s">
        <v>19</v>
      </c>
      <c r="O1797" s="7" t="s">
        <v>98</v>
      </c>
    </row>
    <row r="1798" spans="7:15" x14ac:dyDescent="0.3">
      <c r="G1798" s="6" t="s">
        <v>19</v>
      </c>
      <c r="H1798" s="6" t="s">
        <v>188</v>
      </c>
      <c r="N1798" s="6" t="s">
        <v>19</v>
      </c>
      <c r="O1798" s="6" t="s">
        <v>188</v>
      </c>
    </row>
    <row r="1799" spans="7:15" x14ac:dyDescent="0.3">
      <c r="G1799" s="7" t="s">
        <v>19</v>
      </c>
      <c r="H1799" s="7" t="s">
        <v>55</v>
      </c>
      <c r="N1799" s="7" t="s">
        <v>19</v>
      </c>
      <c r="O1799" s="7" t="s">
        <v>55</v>
      </c>
    </row>
    <row r="1800" spans="7:15" x14ac:dyDescent="0.3">
      <c r="G1800" s="6" t="s">
        <v>19</v>
      </c>
      <c r="H1800" s="6" t="s">
        <v>55</v>
      </c>
      <c r="N1800" s="6" t="s">
        <v>19</v>
      </c>
      <c r="O1800" s="6" t="s">
        <v>55</v>
      </c>
    </row>
    <row r="1801" spans="7:15" x14ac:dyDescent="0.3">
      <c r="G1801" s="7" t="s">
        <v>19</v>
      </c>
      <c r="H1801" s="7" t="s">
        <v>55</v>
      </c>
      <c r="N1801" s="7" t="s">
        <v>19</v>
      </c>
      <c r="O1801" s="7" t="s">
        <v>55</v>
      </c>
    </row>
    <row r="1802" spans="7:15" x14ac:dyDescent="0.3">
      <c r="G1802" s="6" t="s">
        <v>19</v>
      </c>
      <c r="H1802" s="6" t="s">
        <v>55</v>
      </c>
      <c r="N1802" s="6" t="s">
        <v>19</v>
      </c>
      <c r="O1802" s="6" t="s">
        <v>55</v>
      </c>
    </row>
    <row r="1803" spans="7:15" x14ac:dyDescent="0.3">
      <c r="G1803" s="7" t="s">
        <v>19</v>
      </c>
      <c r="H1803" s="7" t="s">
        <v>62</v>
      </c>
      <c r="N1803" s="7" t="s">
        <v>19</v>
      </c>
      <c r="O1803" s="7" t="s">
        <v>62</v>
      </c>
    </row>
    <row r="1804" spans="7:15" x14ac:dyDescent="0.3">
      <c r="G1804" s="6" t="s">
        <v>19</v>
      </c>
      <c r="H1804" s="6" t="s">
        <v>62</v>
      </c>
      <c r="N1804" s="6" t="s">
        <v>19</v>
      </c>
      <c r="O1804" s="6" t="s">
        <v>62</v>
      </c>
    </row>
    <row r="1805" spans="7:15" x14ac:dyDescent="0.3">
      <c r="G1805" s="7" t="s">
        <v>19</v>
      </c>
      <c r="H1805" s="7" t="s">
        <v>62</v>
      </c>
      <c r="N1805" s="7" t="s">
        <v>19</v>
      </c>
      <c r="O1805" s="7" t="s">
        <v>62</v>
      </c>
    </row>
    <row r="1806" spans="7:15" x14ac:dyDescent="0.3">
      <c r="G1806" s="6" t="s">
        <v>19</v>
      </c>
      <c r="H1806" s="6" t="s">
        <v>72</v>
      </c>
      <c r="N1806" s="6" t="s">
        <v>19</v>
      </c>
      <c r="O1806" s="6" t="s">
        <v>72</v>
      </c>
    </row>
    <row r="1807" spans="7:15" x14ac:dyDescent="0.3">
      <c r="G1807" s="7" t="s">
        <v>19</v>
      </c>
      <c r="H1807" s="7" t="s">
        <v>74</v>
      </c>
      <c r="N1807" s="7" t="s">
        <v>19</v>
      </c>
      <c r="O1807" s="7" t="s">
        <v>74</v>
      </c>
    </row>
    <row r="1808" spans="7:15" x14ac:dyDescent="0.3">
      <c r="G1808" s="6" t="s">
        <v>19</v>
      </c>
      <c r="H1808" s="6" t="s">
        <v>74</v>
      </c>
      <c r="N1808" s="6" t="s">
        <v>19</v>
      </c>
      <c r="O1808" s="6" t="s">
        <v>74</v>
      </c>
    </row>
    <row r="1809" spans="7:15" x14ac:dyDescent="0.3">
      <c r="G1809" s="7" t="s">
        <v>19</v>
      </c>
      <c r="H1809" s="7" t="s">
        <v>77</v>
      </c>
      <c r="N1809" s="7" t="s">
        <v>19</v>
      </c>
      <c r="O1809" s="7" t="s">
        <v>77</v>
      </c>
    </row>
    <row r="1810" spans="7:15" x14ac:dyDescent="0.3">
      <c r="G1810" s="6" t="s">
        <v>19</v>
      </c>
      <c r="H1810" s="6" t="s">
        <v>77</v>
      </c>
      <c r="N1810" s="6" t="s">
        <v>19</v>
      </c>
      <c r="O1810" s="6" t="s">
        <v>77</v>
      </c>
    </row>
    <row r="1811" spans="7:15" x14ac:dyDescent="0.3">
      <c r="G1811" s="7" t="s">
        <v>19</v>
      </c>
      <c r="H1811" s="7" t="s">
        <v>110</v>
      </c>
      <c r="N1811" s="7" t="s">
        <v>19</v>
      </c>
      <c r="O1811" s="7" t="s">
        <v>110</v>
      </c>
    </row>
    <row r="1812" spans="7:15" x14ac:dyDescent="0.3">
      <c r="G1812" s="6" t="s">
        <v>19</v>
      </c>
      <c r="H1812" s="6" t="s">
        <v>82</v>
      </c>
      <c r="N1812" s="6" t="s">
        <v>19</v>
      </c>
      <c r="O1812" s="6" t="s">
        <v>82</v>
      </c>
    </row>
    <row r="1813" spans="7:15" x14ac:dyDescent="0.3">
      <c r="G1813" s="7" t="s">
        <v>19</v>
      </c>
      <c r="H1813" s="7" t="s">
        <v>115</v>
      </c>
      <c r="N1813" s="7" t="s">
        <v>19</v>
      </c>
      <c r="O1813" s="7" t="s">
        <v>115</v>
      </c>
    </row>
    <row r="1814" spans="7:15" x14ac:dyDescent="0.3">
      <c r="G1814" s="6" t="s">
        <v>19</v>
      </c>
      <c r="H1814" s="6" t="s">
        <v>115</v>
      </c>
      <c r="N1814" s="6" t="s">
        <v>19</v>
      </c>
      <c r="O1814" s="6" t="s">
        <v>115</v>
      </c>
    </row>
    <row r="1815" spans="7:15" x14ac:dyDescent="0.3">
      <c r="G1815" s="7" t="s">
        <v>19</v>
      </c>
      <c r="H1815" s="7" t="s">
        <v>115</v>
      </c>
      <c r="N1815" s="7" t="s">
        <v>19</v>
      </c>
      <c r="O1815" s="7" t="s">
        <v>115</v>
      </c>
    </row>
    <row r="1816" spans="7:15" x14ac:dyDescent="0.3">
      <c r="G1816" s="6" t="s">
        <v>19</v>
      </c>
      <c r="H1816" s="6" t="s">
        <v>115</v>
      </c>
      <c r="N1816" s="6" t="s">
        <v>19</v>
      </c>
      <c r="O1816" s="6" t="s">
        <v>115</v>
      </c>
    </row>
    <row r="1817" spans="7:15" x14ac:dyDescent="0.3">
      <c r="G1817" s="7" t="s">
        <v>19</v>
      </c>
      <c r="H1817" s="7" t="s">
        <v>24</v>
      </c>
      <c r="N1817" s="7" t="s">
        <v>19</v>
      </c>
      <c r="O1817" s="7" t="s">
        <v>24</v>
      </c>
    </row>
    <row r="1818" spans="7:15" x14ac:dyDescent="0.3">
      <c r="G1818" s="6" t="s">
        <v>19</v>
      </c>
      <c r="H1818" s="6" t="s">
        <v>28</v>
      </c>
      <c r="N1818" s="6" t="s">
        <v>19</v>
      </c>
      <c r="O1818" s="6" t="s">
        <v>28</v>
      </c>
    </row>
    <row r="1819" spans="7:15" x14ac:dyDescent="0.3">
      <c r="G1819" s="7" t="s">
        <v>19</v>
      </c>
      <c r="H1819" s="7" t="s">
        <v>147</v>
      </c>
      <c r="N1819" s="7" t="s">
        <v>19</v>
      </c>
      <c r="O1819" s="7" t="s">
        <v>147</v>
      </c>
    </row>
    <row r="1820" spans="7:15" x14ac:dyDescent="0.3">
      <c r="G1820" s="6" t="s">
        <v>19</v>
      </c>
      <c r="H1820" s="6" t="s">
        <v>949</v>
      </c>
      <c r="N1820" s="6" t="s">
        <v>19</v>
      </c>
      <c r="O1820" s="6" t="s">
        <v>949</v>
      </c>
    </row>
    <row r="1821" spans="7:15" x14ac:dyDescent="0.3">
      <c r="G1821" s="7" t="s">
        <v>19</v>
      </c>
      <c r="H1821" s="7" t="s">
        <v>33</v>
      </c>
      <c r="N1821" s="7" t="s">
        <v>19</v>
      </c>
      <c r="O1821" s="7" t="s">
        <v>33</v>
      </c>
    </row>
    <row r="1822" spans="7:15" x14ac:dyDescent="0.3">
      <c r="G1822" s="6" t="s">
        <v>19</v>
      </c>
      <c r="H1822" s="6" t="s">
        <v>33</v>
      </c>
      <c r="N1822" s="6" t="s">
        <v>19</v>
      </c>
      <c r="O1822" s="6" t="s">
        <v>33</v>
      </c>
    </row>
    <row r="1823" spans="7:15" x14ac:dyDescent="0.3">
      <c r="G1823" s="7" t="s">
        <v>19</v>
      </c>
      <c r="H1823" s="7" t="s">
        <v>33</v>
      </c>
      <c r="N1823" s="7" t="s">
        <v>19</v>
      </c>
      <c r="O1823" s="7" t="s">
        <v>33</v>
      </c>
    </row>
    <row r="1824" spans="7:15" x14ac:dyDescent="0.3">
      <c r="G1824" s="6" t="s">
        <v>19</v>
      </c>
      <c r="H1824" s="6" t="s">
        <v>33</v>
      </c>
      <c r="N1824" s="6" t="s">
        <v>19</v>
      </c>
      <c r="O1824" s="6" t="s">
        <v>33</v>
      </c>
    </row>
    <row r="1825" spans="7:15" x14ac:dyDescent="0.3">
      <c r="G1825" s="7" t="s">
        <v>19</v>
      </c>
      <c r="H1825" s="7" t="s">
        <v>33</v>
      </c>
      <c r="N1825" s="7" t="s">
        <v>19</v>
      </c>
      <c r="O1825" s="7" t="s">
        <v>33</v>
      </c>
    </row>
    <row r="1826" spans="7:15" x14ac:dyDescent="0.3">
      <c r="G1826" s="6" t="s">
        <v>19</v>
      </c>
      <c r="H1826" s="6" t="s">
        <v>33</v>
      </c>
      <c r="N1826" s="6" t="s">
        <v>19</v>
      </c>
      <c r="O1826" s="6" t="s">
        <v>33</v>
      </c>
    </row>
    <row r="1827" spans="7:15" x14ac:dyDescent="0.3">
      <c r="G1827" s="7" t="s">
        <v>19</v>
      </c>
      <c r="H1827" s="7" t="s">
        <v>33</v>
      </c>
      <c r="N1827" s="7" t="s">
        <v>19</v>
      </c>
      <c r="O1827" s="7" t="s">
        <v>33</v>
      </c>
    </row>
    <row r="1828" spans="7:15" x14ac:dyDescent="0.3">
      <c r="G1828" s="6" t="s">
        <v>19</v>
      </c>
      <c r="H1828" s="6" t="s">
        <v>33</v>
      </c>
      <c r="N1828" s="6" t="s">
        <v>19</v>
      </c>
      <c r="O1828" s="6" t="s">
        <v>33</v>
      </c>
    </row>
    <row r="1829" spans="7:15" x14ac:dyDescent="0.3">
      <c r="G1829" s="7" t="s">
        <v>19</v>
      </c>
      <c r="H1829" s="7" t="s">
        <v>33</v>
      </c>
      <c r="N1829" s="7" t="s">
        <v>19</v>
      </c>
      <c r="O1829" s="7" t="s">
        <v>33</v>
      </c>
    </row>
    <row r="1830" spans="7:15" x14ac:dyDescent="0.3">
      <c r="G1830" s="6" t="s">
        <v>19</v>
      </c>
      <c r="H1830" s="6" t="s">
        <v>55</v>
      </c>
      <c r="N1830" s="6" t="s">
        <v>19</v>
      </c>
      <c r="O1830" s="6" t="s">
        <v>55</v>
      </c>
    </row>
    <row r="1831" spans="7:15" x14ac:dyDescent="0.3">
      <c r="G1831" s="7" t="s">
        <v>19</v>
      </c>
      <c r="H1831" s="7" t="s">
        <v>59</v>
      </c>
      <c r="N1831" s="7" t="s">
        <v>19</v>
      </c>
      <c r="O1831" s="7" t="s">
        <v>59</v>
      </c>
    </row>
    <row r="1832" spans="7:15" x14ac:dyDescent="0.3">
      <c r="G1832" s="6" t="s">
        <v>19</v>
      </c>
      <c r="H1832" s="6" t="s">
        <v>62</v>
      </c>
      <c r="N1832" s="6" t="s">
        <v>19</v>
      </c>
      <c r="O1832" s="6" t="s">
        <v>62</v>
      </c>
    </row>
    <row r="1833" spans="7:15" x14ac:dyDescent="0.3">
      <c r="G1833" s="7" t="s">
        <v>19</v>
      </c>
      <c r="H1833" s="7" t="s">
        <v>62</v>
      </c>
      <c r="N1833" s="7" t="s">
        <v>19</v>
      </c>
      <c r="O1833" s="7" t="s">
        <v>62</v>
      </c>
    </row>
    <row r="1834" spans="7:15" x14ac:dyDescent="0.3">
      <c r="G1834" s="6" t="s">
        <v>19</v>
      </c>
      <c r="H1834" s="6" t="s">
        <v>62</v>
      </c>
      <c r="N1834" s="6" t="s">
        <v>19</v>
      </c>
      <c r="O1834" s="6" t="s">
        <v>62</v>
      </c>
    </row>
    <row r="1835" spans="7:15" x14ac:dyDescent="0.3">
      <c r="G1835" s="7" t="s">
        <v>19</v>
      </c>
      <c r="H1835" s="7" t="s">
        <v>62</v>
      </c>
      <c r="N1835" s="7" t="s">
        <v>19</v>
      </c>
      <c r="O1835" s="7" t="s">
        <v>62</v>
      </c>
    </row>
    <row r="1836" spans="7:15" x14ac:dyDescent="0.3">
      <c r="G1836" s="6" t="s">
        <v>19</v>
      </c>
      <c r="H1836" s="6" t="s">
        <v>62</v>
      </c>
      <c r="N1836" s="6" t="s">
        <v>19</v>
      </c>
      <c r="O1836" s="6" t="s">
        <v>62</v>
      </c>
    </row>
    <row r="1837" spans="7:15" x14ac:dyDescent="0.3">
      <c r="G1837" s="7" t="s">
        <v>19</v>
      </c>
      <c r="H1837" s="7" t="s">
        <v>103</v>
      </c>
      <c r="N1837" s="7" t="s">
        <v>19</v>
      </c>
      <c r="O1837" s="7" t="s">
        <v>103</v>
      </c>
    </row>
    <row r="1838" spans="7:15" x14ac:dyDescent="0.3">
      <c r="G1838" s="6" t="s">
        <v>19</v>
      </c>
      <c r="H1838" s="6" t="s">
        <v>103</v>
      </c>
      <c r="N1838" s="6" t="s">
        <v>19</v>
      </c>
      <c r="O1838" s="6" t="s">
        <v>103</v>
      </c>
    </row>
    <row r="1839" spans="7:15" x14ac:dyDescent="0.3">
      <c r="G1839" s="7" t="s">
        <v>19</v>
      </c>
      <c r="H1839" s="7" t="s">
        <v>201</v>
      </c>
      <c r="N1839" s="7" t="s">
        <v>19</v>
      </c>
      <c r="O1839" s="7" t="s">
        <v>201</v>
      </c>
    </row>
    <row r="1840" spans="7:15" x14ac:dyDescent="0.3">
      <c r="G1840" s="6" t="s">
        <v>19</v>
      </c>
      <c r="H1840" s="6" t="s">
        <v>77</v>
      </c>
      <c r="N1840" s="6" t="s">
        <v>19</v>
      </c>
      <c r="O1840" s="6" t="s">
        <v>77</v>
      </c>
    </row>
    <row r="1841" spans="7:15" x14ac:dyDescent="0.3">
      <c r="G1841" s="7" t="s">
        <v>19</v>
      </c>
      <c r="H1841" s="7" t="s">
        <v>77</v>
      </c>
      <c r="N1841" s="7" t="s">
        <v>19</v>
      </c>
      <c r="O1841" s="7" t="s">
        <v>77</v>
      </c>
    </row>
    <row r="1842" spans="7:15" x14ac:dyDescent="0.3">
      <c r="G1842" s="6" t="s">
        <v>19</v>
      </c>
      <c r="H1842" s="6" t="s">
        <v>77</v>
      </c>
      <c r="N1842" s="6" t="s">
        <v>19</v>
      </c>
      <c r="O1842" s="6" t="s">
        <v>77</v>
      </c>
    </row>
    <row r="1843" spans="7:15" x14ac:dyDescent="0.3">
      <c r="G1843" s="7" t="s">
        <v>19</v>
      </c>
      <c r="H1843" s="7" t="s">
        <v>108</v>
      </c>
      <c r="N1843" s="7" t="s">
        <v>19</v>
      </c>
      <c r="O1843" s="7" t="s">
        <v>108</v>
      </c>
    </row>
    <row r="1844" spans="7:15" x14ac:dyDescent="0.3">
      <c r="G1844" s="6" t="s">
        <v>19</v>
      </c>
      <c r="H1844" s="6" t="s">
        <v>108</v>
      </c>
      <c r="N1844" s="6" t="s">
        <v>19</v>
      </c>
      <c r="O1844" s="6" t="s">
        <v>108</v>
      </c>
    </row>
    <row r="1845" spans="7:15" x14ac:dyDescent="0.3">
      <c r="G1845" s="7" t="s">
        <v>19</v>
      </c>
      <c r="H1845" s="7" t="s">
        <v>115</v>
      </c>
      <c r="N1845" s="7" t="s">
        <v>19</v>
      </c>
      <c r="O1845" s="7" t="s">
        <v>115</v>
      </c>
    </row>
    <row r="1846" spans="7:15" x14ac:dyDescent="0.3">
      <c r="G1846" s="6" t="s">
        <v>19</v>
      </c>
      <c r="H1846" s="6" t="s">
        <v>24</v>
      </c>
      <c r="N1846" s="6" t="s">
        <v>19</v>
      </c>
      <c r="O1846" s="6" t="s">
        <v>24</v>
      </c>
    </row>
    <row r="1847" spans="7:15" x14ac:dyDescent="0.3">
      <c r="G1847" s="7" t="s">
        <v>19</v>
      </c>
      <c r="H1847" s="7" t="s">
        <v>33</v>
      </c>
      <c r="N1847" s="7" t="s">
        <v>19</v>
      </c>
      <c r="O1847" s="7" t="s">
        <v>33</v>
      </c>
    </row>
    <row r="1848" spans="7:15" x14ac:dyDescent="0.3">
      <c r="G1848" s="6" t="s">
        <v>19</v>
      </c>
      <c r="H1848" s="6" t="s">
        <v>33</v>
      </c>
      <c r="N1848" s="6" t="s">
        <v>19</v>
      </c>
      <c r="O1848" s="6" t="s">
        <v>33</v>
      </c>
    </row>
    <row r="1849" spans="7:15" x14ac:dyDescent="0.3">
      <c r="G1849" s="7" t="s">
        <v>19</v>
      </c>
      <c r="H1849" s="7" t="s">
        <v>186</v>
      </c>
      <c r="N1849" s="7" t="s">
        <v>19</v>
      </c>
      <c r="O1849" s="7" t="s">
        <v>186</v>
      </c>
    </row>
    <row r="1850" spans="7:15" x14ac:dyDescent="0.3">
      <c r="G1850" s="6" t="s">
        <v>19</v>
      </c>
      <c r="H1850" s="6" t="s">
        <v>55</v>
      </c>
      <c r="N1850" s="6" t="s">
        <v>19</v>
      </c>
      <c r="O1850" s="6" t="s">
        <v>55</v>
      </c>
    </row>
    <row r="1851" spans="7:15" x14ac:dyDescent="0.3">
      <c r="G1851" s="7" t="s">
        <v>19</v>
      </c>
      <c r="H1851" s="7" t="s">
        <v>55</v>
      </c>
      <c r="N1851" s="7" t="s">
        <v>19</v>
      </c>
      <c r="O1851" s="7" t="s">
        <v>55</v>
      </c>
    </row>
    <row r="1852" spans="7:15" x14ac:dyDescent="0.3">
      <c r="G1852" s="6" t="s">
        <v>19</v>
      </c>
      <c r="H1852" s="6" t="s">
        <v>55</v>
      </c>
      <c r="N1852" s="6" t="s">
        <v>19</v>
      </c>
      <c r="O1852" s="6" t="s">
        <v>55</v>
      </c>
    </row>
    <row r="1853" spans="7:15" x14ac:dyDescent="0.3">
      <c r="G1853" s="7" t="s">
        <v>19</v>
      </c>
      <c r="H1853" s="7" t="s">
        <v>62</v>
      </c>
      <c r="N1853" s="7" t="s">
        <v>19</v>
      </c>
      <c r="O1853" s="7" t="s">
        <v>62</v>
      </c>
    </row>
    <row r="1854" spans="7:15" x14ac:dyDescent="0.3">
      <c r="G1854" s="6" t="s">
        <v>19</v>
      </c>
      <c r="H1854" s="6" t="s">
        <v>62</v>
      </c>
      <c r="N1854" s="6" t="s">
        <v>19</v>
      </c>
      <c r="O1854" s="6" t="s">
        <v>62</v>
      </c>
    </row>
    <row r="1855" spans="7:15" x14ac:dyDescent="0.3">
      <c r="G1855" s="7" t="s">
        <v>19</v>
      </c>
      <c r="H1855" s="7" t="s">
        <v>62</v>
      </c>
      <c r="N1855" s="7" t="s">
        <v>19</v>
      </c>
      <c r="O1855" s="7" t="s">
        <v>62</v>
      </c>
    </row>
    <row r="1856" spans="7:15" x14ac:dyDescent="0.3">
      <c r="G1856" s="6" t="s">
        <v>19</v>
      </c>
      <c r="H1856" s="6" t="s">
        <v>62</v>
      </c>
      <c r="N1856" s="6" t="s">
        <v>19</v>
      </c>
      <c r="O1856" s="6" t="s">
        <v>62</v>
      </c>
    </row>
    <row r="1857" spans="7:15" x14ac:dyDescent="0.3">
      <c r="G1857" s="7" t="s">
        <v>19</v>
      </c>
      <c r="H1857" s="7" t="s">
        <v>103</v>
      </c>
      <c r="N1857" s="7" t="s">
        <v>19</v>
      </c>
      <c r="O1857" s="7" t="s">
        <v>103</v>
      </c>
    </row>
    <row r="1858" spans="7:15" x14ac:dyDescent="0.3">
      <c r="G1858" s="6" t="s">
        <v>19</v>
      </c>
      <c r="H1858" s="6" t="s">
        <v>108</v>
      </c>
      <c r="N1858" s="6" t="s">
        <v>19</v>
      </c>
      <c r="O1858" s="6" t="s">
        <v>108</v>
      </c>
    </row>
    <row r="1859" spans="7:15" x14ac:dyDescent="0.3">
      <c r="G1859" s="7" t="s">
        <v>19</v>
      </c>
      <c r="H1859" s="7" t="s">
        <v>113</v>
      </c>
      <c r="N1859" s="7" t="s">
        <v>19</v>
      </c>
      <c r="O1859" s="7" t="s">
        <v>113</v>
      </c>
    </row>
    <row r="1860" spans="7:15" x14ac:dyDescent="0.3">
      <c r="G1860" s="6" t="s">
        <v>19</v>
      </c>
      <c r="H1860" s="6" t="s">
        <v>115</v>
      </c>
      <c r="N1860" s="6" t="s">
        <v>19</v>
      </c>
      <c r="O1860" s="6" t="s">
        <v>115</v>
      </c>
    </row>
    <row r="1861" spans="7:15" x14ac:dyDescent="0.3">
      <c r="G1861" s="7" t="s">
        <v>19</v>
      </c>
      <c r="H1861" s="7" t="s">
        <v>115</v>
      </c>
      <c r="N1861" s="7" t="s">
        <v>19</v>
      </c>
      <c r="O1861" s="7" t="s">
        <v>115</v>
      </c>
    </row>
    <row r="1862" spans="7:15" x14ac:dyDescent="0.3">
      <c r="G1862" s="6" t="s">
        <v>19</v>
      </c>
      <c r="H1862" s="6" t="s">
        <v>115</v>
      </c>
      <c r="N1862" s="6" t="s">
        <v>19</v>
      </c>
      <c r="O1862" s="6" t="s">
        <v>115</v>
      </c>
    </row>
    <row r="1863" spans="7:15" x14ac:dyDescent="0.3">
      <c r="G1863" s="7" t="s">
        <v>19</v>
      </c>
      <c r="H1863" s="7" t="s">
        <v>147</v>
      </c>
      <c r="N1863" s="7" t="s">
        <v>19</v>
      </c>
      <c r="O1863" s="7" t="s">
        <v>147</v>
      </c>
    </row>
    <row r="1864" spans="7:15" x14ac:dyDescent="0.3">
      <c r="G1864" s="6" t="s">
        <v>19</v>
      </c>
      <c r="H1864" s="6" t="s">
        <v>147</v>
      </c>
      <c r="N1864" s="6" t="s">
        <v>19</v>
      </c>
      <c r="O1864" s="6" t="s">
        <v>147</v>
      </c>
    </row>
    <row r="1865" spans="7:15" x14ac:dyDescent="0.3">
      <c r="G1865" s="7" t="s">
        <v>19</v>
      </c>
      <c r="H1865" s="7" t="s">
        <v>33</v>
      </c>
      <c r="N1865" s="7" t="s">
        <v>19</v>
      </c>
      <c r="O1865" s="7" t="s">
        <v>33</v>
      </c>
    </row>
    <row r="1866" spans="7:15" x14ac:dyDescent="0.3">
      <c r="G1866" s="6" t="s">
        <v>19</v>
      </c>
      <c r="H1866" s="6" t="s">
        <v>33</v>
      </c>
      <c r="N1866" s="6" t="s">
        <v>19</v>
      </c>
      <c r="O1866" s="6" t="s">
        <v>33</v>
      </c>
    </row>
    <row r="1867" spans="7:15" x14ac:dyDescent="0.3">
      <c r="G1867" s="7" t="s">
        <v>19</v>
      </c>
      <c r="H1867" s="7" t="s">
        <v>33</v>
      </c>
      <c r="N1867" s="7" t="s">
        <v>19</v>
      </c>
      <c r="O1867" s="7" t="s">
        <v>33</v>
      </c>
    </row>
    <row r="1868" spans="7:15" x14ac:dyDescent="0.3">
      <c r="G1868" s="6" t="s">
        <v>19</v>
      </c>
      <c r="H1868" s="6" t="s">
        <v>33</v>
      </c>
      <c r="N1868" s="6" t="s">
        <v>19</v>
      </c>
      <c r="O1868" s="6" t="s">
        <v>33</v>
      </c>
    </row>
    <row r="1869" spans="7:15" x14ac:dyDescent="0.3">
      <c r="G1869" s="7" t="s">
        <v>19</v>
      </c>
      <c r="H1869" s="7" t="s">
        <v>33</v>
      </c>
      <c r="N1869" s="7" t="s">
        <v>19</v>
      </c>
      <c r="O1869" s="7" t="s">
        <v>33</v>
      </c>
    </row>
    <row r="1870" spans="7:15" x14ac:dyDescent="0.3">
      <c r="G1870" s="6" t="s">
        <v>19</v>
      </c>
      <c r="H1870" s="6" t="s">
        <v>33</v>
      </c>
      <c r="N1870" s="6" t="s">
        <v>19</v>
      </c>
      <c r="O1870" s="6" t="s">
        <v>33</v>
      </c>
    </row>
    <row r="1871" spans="7:15" x14ac:dyDescent="0.3">
      <c r="G1871" s="7" t="s">
        <v>19</v>
      </c>
      <c r="H1871" s="7" t="s">
        <v>33</v>
      </c>
      <c r="N1871" s="7" t="s">
        <v>19</v>
      </c>
      <c r="O1871" s="7" t="s">
        <v>33</v>
      </c>
    </row>
    <row r="1872" spans="7:15" x14ac:dyDescent="0.3">
      <c r="G1872" s="6" t="s">
        <v>19</v>
      </c>
      <c r="H1872" s="6" t="s">
        <v>33</v>
      </c>
      <c r="N1872" s="6" t="s">
        <v>19</v>
      </c>
      <c r="O1872" s="6" t="s">
        <v>33</v>
      </c>
    </row>
    <row r="1873" spans="7:15" x14ac:dyDescent="0.3">
      <c r="G1873" s="7" t="s">
        <v>19</v>
      </c>
      <c r="H1873" s="7" t="s">
        <v>33</v>
      </c>
      <c r="N1873" s="7" t="s">
        <v>19</v>
      </c>
      <c r="O1873" s="7" t="s">
        <v>33</v>
      </c>
    </row>
    <row r="1874" spans="7:15" x14ac:dyDescent="0.3">
      <c r="G1874" s="6" t="s">
        <v>19</v>
      </c>
      <c r="H1874" s="6" t="s">
        <v>33</v>
      </c>
      <c r="N1874" s="6" t="s">
        <v>19</v>
      </c>
      <c r="O1874" s="6" t="s">
        <v>33</v>
      </c>
    </row>
    <row r="1875" spans="7:15" x14ac:dyDescent="0.3">
      <c r="G1875" s="7" t="s">
        <v>19</v>
      </c>
      <c r="H1875" s="7" t="s">
        <v>158</v>
      </c>
      <c r="N1875" s="7" t="s">
        <v>19</v>
      </c>
      <c r="O1875" s="7" t="s">
        <v>158</v>
      </c>
    </row>
    <row r="1876" spans="7:15" x14ac:dyDescent="0.3">
      <c r="G1876" s="6" t="s">
        <v>19</v>
      </c>
      <c r="H1876" s="6" t="s">
        <v>55</v>
      </c>
      <c r="N1876" s="6" t="s">
        <v>19</v>
      </c>
      <c r="O1876" s="6" t="s">
        <v>55</v>
      </c>
    </row>
    <row r="1877" spans="7:15" x14ac:dyDescent="0.3">
      <c r="G1877" s="7" t="s">
        <v>19</v>
      </c>
      <c r="H1877" s="7" t="s">
        <v>55</v>
      </c>
      <c r="N1877" s="7" t="s">
        <v>19</v>
      </c>
      <c r="O1877" s="7" t="s">
        <v>55</v>
      </c>
    </row>
    <row r="1878" spans="7:15" x14ac:dyDescent="0.3">
      <c r="G1878" s="6" t="s">
        <v>19</v>
      </c>
      <c r="H1878" s="6" t="s">
        <v>62</v>
      </c>
      <c r="N1878" s="6" t="s">
        <v>19</v>
      </c>
      <c r="O1878" s="6" t="s">
        <v>62</v>
      </c>
    </row>
    <row r="1879" spans="7:15" x14ac:dyDescent="0.3">
      <c r="G1879" s="7" t="s">
        <v>19</v>
      </c>
      <c r="H1879" s="7" t="s">
        <v>62</v>
      </c>
      <c r="N1879" s="7" t="s">
        <v>19</v>
      </c>
      <c r="O1879" s="7" t="s">
        <v>62</v>
      </c>
    </row>
    <row r="1880" spans="7:15" x14ac:dyDescent="0.3">
      <c r="G1880" s="6" t="s">
        <v>19</v>
      </c>
      <c r="H1880" s="6" t="s">
        <v>62</v>
      </c>
      <c r="N1880" s="6" t="s">
        <v>19</v>
      </c>
      <c r="O1880" s="6" t="s">
        <v>62</v>
      </c>
    </row>
    <row r="1881" spans="7:15" x14ac:dyDescent="0.3">
      <c r="G1881" s="7" t="s">
        <v>19</v>
      </c>
      <c r="H1881" s="7" t="s">
        <v>62</v>
      </c>
      <c r="N1881" s="7" t="s">
        <v>19</v>
      </c>
      <c r="O1881" s="7" t="s">
        <v>62</v>
      </c>
    </row>
    <row r="1882" spans="7:15" x14ac:dyDescent="0.3">
      <c r="G1882" s="6" t="s">
        <v>19</v>
      </c>
      <c r="H1882" s="6" t="s">
        <v>62</v>
      </c>
      <c r="N1882" s="6" t="s">
        <v>19</v>
      </c>
      <c r="O1882" s="6" t="s">
        <v>62</v>
      </c>
    </row>
    <row r="1883" spans="7:15" x14ac:dyDescent="0.3">
      <c r="G1883" s="7" t="s">
        <v>19</v>
      </c>
      <c r="H1883" s="7" t="s">
        <v>62</v>
      </c>
      <c r="N1883" s="7" t="s">
        <v>19</v>
      </c>
      <c r="O1883" s="7" t="s">
        <v>62</v>
      </c>
    </row>
    <row r="1884" spans="7:15" x14ac:dyDescent="0.3">
      <c r="G1884" s="6" t="s">
        <v>19</v>
      </c>
      <c r="H1884" s="6" t="s">
        <v>62</v>
      </c>
      <c r="N1884" s="6" t="s">
        <v>19</v>
      </c>
      <c r="O1884" s="6" t="s">
        <v>62</v>
      </c>
    </row>
    <row r="1885" spans="7:15" x14ac:dyDescent="0.3">
      <c r="G1885" s="7" t="s">
        <v>19</v>
      </c>
      <c r="H1885" s="7" t="s">
        <v>72</v>
      </c>
      <c r="N1885" s="7" t="s">
        <v>19</v>
      </c>
      <c r="O1885" s="7" t="s">
        <v>72</v>
      </c>
    </row>
    <row r="1886" spans="7:15" x14ac:dyDescent="0.3">
      <c r="G1886" s="6" t="s">
        <v>19</v>
      </c>
      <c r="H1886" s="6" t="s">
        <v>72</v>
      </c>
      <c r="N1886" s="6" t="s">
        <v>19</v>
      </c>
      <c r="O1886" s="6" t="s">
        <v>72</v>
      </c>
    </row>
    <row r="1887" spans="7:15" x14ac:dyDescent="0.3">
      <c r="G1887" s="7" t="s">
        <v>19</v>
      </c>
      <c r="H1887" s="7" t="s">
        <v>72</v>
      </c>
      <c r="N1887" s="7" t="s">
        <v>19</v>
      </c>
      <c r="O1887" s="7" t="s">
        <v>72</v>
      </c>
    </row>
    <row r="1888" spans="7:15" x14ac:dyDescent="0.3">
      <c r="G1888" s="6" t="s">
        <v>19</v>
      </c>
      <c r="H1888" s="6" t="s">
        <v>77</v>
      </c>
      <c r="N1888" s="6" t="s">
        <v>19</v>
      </c>
      <c r="O1888" s="6" t="s">
        <v>77</v>
      </c>
    </row>
    <row r="1889" spans="7:15" x14ac:dyDescent="0.3">
      <c r="G1889" s="7" t="s">
        <v>19</v>
      </c>
      <c r="H1889" s="7" t="s">
        <v>108</v>
      </c>
      <c r="N1889" s="7" t="s">
        <v>19</v>
      </c>
      <c r="O1889" s="7" t="s">
        <v>108</v>
      </c>
    </row>
    <row r="1890" spans="7:15" x14ac:dyDescent="0.3">
      <c r="G1890" s="6" t="s">
        <v>19</v>
      </c>
      <c r="H1890" s="6" t="s">
        <v>110</v>
      </c>
      <c r="N1890" s="6" t="s">
        <v>19</v>
      </c>
      <c r="O1890" s="6" t="s">
        <v>110</v>
      </c>
    </row>
    <row r="1891" spans="7:15" x14ac:dyDescent="0.3">
      <c r="G1891" s="7" t="s">
        <v>19</v>
      </c>
      <c r="H1891" s="7" t="s">
        <v>1911</v>
      </c>
      <c r="N1891" s="7" t="s">
        <v>19</v>
      </c>
      <c r="O1891" s="7" t="s">
        <v>1911</v>
      </c>
    </row>
    <row r="1892" spans="7:15" x14ac:dyDescent="0.3">
      <c r="G1892" s="6" t="s">
        <v>19</v>
      </c>
      <c r="H1892" s="6" t="s">
        <v>115</v>
      </c>
      <c r="N1892" s="6" t="s">
        <v>19</v>
      </c>
      <c r="O1892" s="6" t="s">
        <v>115</v>
      </c>
    </row>
    <row r="1893" spans="7:15" x14ac:dyDescent="0.3">
      <c r="G1893" s="7" t="s">
        <v>19</v>
      </c>
      <c r="H1893" s="7" t="s">
        <v>115</v>
      </c>
      <c r="N1893" s="7" t="s">
        <v>19</v>
      </c>
      <c r="O1893" s="7" t="s">
        <v>115</v>
      </c>
    </row>
    <row r="1894" spans="7:15" x14ac:dyDescent="0.3">
      <c r="G1894" s="6" t="s">
        <v>19</v>
      </c>
      <c r="H1894" s="6" t="s">
        <v>115</v>
      </c>
      <c r="N1894" s="6" t="s">
        <v>19</v>
      </c>
      <c r="O1894" s="6" t="s">
        <v>115</v>
      </c>
    </row>
    <row r="1895" spans="7:15" x14ac:dyDescent="0.3">
      <c r="G1895" s="7" t="s">
        <v>19</v>
      </c>
      <c r="H1895" s="7" t="s">
        <v>24</v>
      </c>
      <c r="N1895" s="7" t="s">
        <v>19</v>
      </c>
      <c r="O1895" s="7" t="s">
        <v>24</v>
      </c>
    </row>
    <row r="1896" spans="7:15" x14ac:dyDescent="0.3">
      <c r="G1896" s="6" t="s">
        <v>19</v>
      </c>
      <c r="H1896" s="6" t="s">
        <v>331</v>
      </c>
      <c r="N1896" s="6" t="s">
        <v>19</v>
      </c>
      <c r="O1896" s="6" t="s">
        <v>331</v>
      </c>
    </row>
    <row r="1897" spans="7:15" x14ac:dyDescent="0.3">
      <c r="G1897" s="7" t="s">
        <v>19</v>
      </c>
      <c r="H1897" s="7" t="s">
        <v>147</v>
      </c>
      <c r="N1897" s="7" t="s">
        <v>19</v>
      </c>
      <c r="O1897" s="7" t="s">
        <v>147</v>
      </c>
    </row>
    <row r="1898" spans="7:15" x14ac:dyDescent="0.3">
      <c r="G1898" s="6" t="s">
        <v>19</v>
      </c>
      <c r="H1898" s="6" t="s">
        <v>147</v>
      </c>
      <c r="N1898" s="6" t="s">
        <v>19</v>
      </c>
      <c r="O1898" s="6" t="s">
        <v>147</v>
      </c>
    </row>
    <row r="1899" spans="7:15" x14ac:dyDescent="0.3">
      <c r="G1899" s="7" t="s">
        <v>19</v>
      </c>
      <c r="H1899" s="7" t="s">
        <v>33</v>
      </c>
      <c r="N1899" s="7" t="s">
        <v>19</v>
      </c>
      <c r="O1899" s="7" t="s">
        <v>33</v>
      </c>
    </row>
    <row r="1900" spans="7:15" x14ac:dyDescent="0.3">
      <c r="G1900" s="6" t="s">
        <v>19</v>
      </c>
      <c r="H1900" s="6" t="s">
        <v>33</v>
      </c>
      <c r="N1900" s="6" t="s">
        <v>19</v>
      </c>
      <c r="O1900" s="6" t="s">
        <v>33</v>
      </c>
    </row>
    <row r="1901" spans="7:15" x14ac:dyDescent="0.3">
      <c r="G1901" s="7" t="s">
        <v>19</v>
      </c>
      <c r="H1901" s="7" t="s">
        <v>33</v>
      </c>
      <c r="N1901" s="7" t="s">
        <v>19</v>
      </c>
      <c r="O1901" s="7" t="s">
        <v>33</v>
      </c>
    </row>
    <row r="1902" spans="7:15" x14ac:dyDescent="0.3">
      <c r="G1902" s="6" t="s">
        <v>19</v>
      </c>
      <c r="H1902" s="6" t="s">
        <v>33</v>
      </c>
      <c r="N1902" s="6" t="s">
        <v>19</v>
      </c>
      <c r="O1902" s="6" t="s">
        <v>33</v>
      </c>
    </row>
    <row r="1903" spans="7:15" x14ac:dyDescent="0.3">
      <c r="G1903" s="7" t="s">
        <v>19</v>
      </c>
      <c r="H1903" s="7" t="s">
        <v>33</v>
      </c>
      <c r="N1903" s="7" t="s">
        <v>19</v>
      </c>
      <c r="O1903" s="7" t="s">
        <v>33</v>
      </c>
    </row>
    <row r="1904" spans="7:15" x14ac:dyDescent="0.3">
      <c r="G1904" s="6" t="s">
        <v>19</v>
      </c>
      <c r="H1904" s="6" t="s">
        <v>33</v>
      </c>
      <c r="N1904" s="6" t="s">
        <v>19</v>
      </c>
      <c r="O1904" s="6" t="s">
        <v>33</v>
      </c>
    </row>
    <row r="1905" spans="7:15" x14ac:dyDescent="0.3">
      <c r="G1905" s="7" t="s">
        <v>19</v>
      </c>
      <c r="H1905" s="7" t="s">
        <v>33</v>
      </c>
      <c r="N1905" s="7" t="s">
        <v>19</v>
      </c>
      <c r="O1905" s="7" t="s">
        <v>33</v>
      </c>
    </row>
    <row r="1906" spans="7:15" x14ac:dyDescent="0.3">
      <c r="G1906" s="6" t="s">
        <v>19</v>
      </c>
      <c r="H1906" s="6" t="s">
        <v>33</v>
      </c>
      <c r="N1906" s="6" t="s">
        <v>19</v>
      </c>
      <c r="O1906" s="6" t="s">
        <v>33</v>
      </c>
    </row>
    <row r="1907" spans="7:15" x14ac:dyDescent="0.3">
      <c r="G1907" s="7" t="s">
        <v>19</v>
      </c>
      <c r="H1907" s="7" t="s">
        <v>33</v>
      </c>
      <c r="N1907" s="7" t="s">
        <v>19</v>
      </c>
      <c r="O1907" s="7" t="s">
        <v>33</v>
      </c>
    </row>
    <row r="1908" spans="7:15" x14ac:dyDescent="0.3">
      <c r="G1908" s="6" t="s">
        <v>19</v>
      </c>
      <c r="H1908" s="6" t="s">
        <v>33</v>
      </c>
      <c r="N1908" s="6" t="s">
        <v>19</v>
      </c>
      <c r="O1908" s="6" t="s">
        <v>33</v>
      </c>
    </row>
    <row r="1909" spans="7:15" x14ac:dyDescent="0.3">
      <c r="G1909" s="7" t="s">
        <v>19</v>
      </c>
      <c r="H1909" s="7" t="s">
        <v>33</v>
      </c>
      <c r="N1909" s="7" t="s">
        <v>19</v>
      </c>
      <c r="O1909" s="7" t="s">
        <v>33</v>
      </c>
    </row>
    <row r="1910" spans="7:15" x14ac:dyDescent="0.3">
      <c r="G1910" s="6" t="s">
        <v>19</v>
      </c>
      <c r="H1910" s="6" t="s">
        <v>364</v>
      </c>
      <c r="N1910" s="6" t="s">
        <v>19</v>
      </c>
      <c r="O1910" s="6" t="s">
        <v>364</v>
      </c>
    </row>
    <row r="1911" spans="7:15" x14ac:dyDescent="0.3">
      <c r="G1911" s="7" t="s">
        <v>19</v>
      </c>
      <c r="H1911" s="7" t="s">
        <v>188</v>
      </c>
      <c r="N1911" s="7" t="s">
        <v>19</v>
      </c>
      <c r="O1911" s="7" t="s">
        <v>188</v>
      </c>
    </row>
    <row r="1912" spans="7:15" x14ac:dyDescent="0.3">
      <c r="G1912" s="6" t="s">
        <v>19</v>
      </c>
      <c r="H1912" s="6" t="s">
        <v>158</v>
      </c>
      <c r="N1912" s="6" t="s">
        <v>19</v>
      </c>
      <c r="O1912" s="6" t="s">
        <v>158</v>
      </c>
    </row>
    <row r="1913" spans="7:15" x14ac:dyDescent="0.3">
      <c r="G1913" s="7" t="s">
        <v>19</v>
      </c>
      <c r="H1913" s="7" t="s">
        <v>59</v>
      </c>
      <c r="N1913" s="7" t="s">
        <v>19</v>
      </c>
      <c r="O1913" s="7" t="s">
        <v>59</v>
      </c>
    </row>
    <row r="1914" spans="7:15" x14ac:dyDescent="0.3">
      <c r="G1914" s="6" t="s">
        <v>19</v>
      </c>
      <c r="H1914" s="6" t="s">
        <v>62</v>
      </c>
      <c r="N1914" s="6" t="s">
        <v>19</v>
      </c>
      <c r="O1914" s="6" t="s">
        <v>62</v>
      </c>
    </row>
    <row r="1915" spans="7:15" x14ac:dyDescent="0.3">
      <c r="G1915" s="7" t="s">
        <v>19</v>
      </c>
      <c r="H1915" s="7" t="s">
        <v>62</v>
      </c>
      <c r="N1915" s="7" t="s">
        <v>19</v>
      </c>
      <c r="O1915" s="7" t="s">
        <v>62</v>
      </c>
    </row>
    <row r="1916" spans="7:15" x14ac:dyDescent="0.3">
      <c r="G1916" s="6" t="s">
        <v>19</v>
      </c>
      <c r="H1916" s="6" t="s">
        <v>62</v>
      </c>
      <c r="N1916" s="6" t="s">
        <v>19</v>
      </c>
      <c r="O1916" s="6" t="s">
        <v>62</v>
      </c>
    </row>
    <row r="1917" spans="7:15" x14ac:dyDescent="0.3">
      <c r="G1917" s="7" t="s">
        <v>19</v>
      </c>
      <c r="H1917" s="7" t="s">
        <v>62</v>
      </c>
      <c r="N1917" s="7" t="s">
        <v>19</v>
      </c>
      <c r="O1917" s="7" t="s">
        <v>62</v>
      </c>
    </row>
    <row r="1918" spans="7:15" x14ac:dyDescent="0.3">
      <c r="G1918" s="6" t="s">
        <v>19</v>
      </c>
      <c r="H1918" s="6" t="s">
        <v>62</v>
      </c>
      <c r="N1918" s="6" t="s">
        <v>19</v>
      </c>
      <c r="O1918" s="6" t="s">
        <v>62</v>
      </c>
    </row>
    <row r="1919" spans="7:15" x14ac:dyDescent="0.3">
      <c r="G1919" s="7" t="s">
        <v>19</v>
      </c>
      <c r="H1919" s="7" t="s">
        <v>62</v>
      </c>
      <c r="N1919" s="7" t="s">
        <v>19</v>
      </c>
      <c r="O1919" s="7" t="s">
        <v>62</v>
      </c>
    </row>
    <row r="1920" spans="7:15" x14ac:dyDescent="0.3">
      <c r="G1920" s="6" t="s">
        <v>19</v>
      </c>
      <c r="H1920" s="6" t="s">
        <v>62</v>
      </c>
      <c r="N1920" s="6" t="s">
        <v>19</v>
      </c>
      <c r="O1920" s="6" t="s">
        <v>62</v>
      </c>
    </row>
    <row r="1921" spans="7:15" x14ac:dyDescent="0.3">
      <c r="G1921" s="7" t="s">
        <v>19</v>
      </c>
      <c r="H1921" s="7" t="s">
        <v>62</v>
      </c>
      <c r="N1921" s="7" t="s">
        <v>19</v>
      </c>
      <c r="O1921" s="7" t="s">
        <v>62</v>
      </c>
    </row>
    <row r="1922" spans="7:15" x14ac:dyDescent="0.3">
      <c r="G1922" s="6" t="s">
        <v>19</v>
      </c>
      <c r="H1922" s="6" t="s">
        <v>103</v>
      </c>
      <c r="N1922" s="6" t="s">
        <v>19</v>
      </c>
      <c r="O1922" s="6" t="s">
        <v>103</v>
      </c>
    </row>
    <row r="1923" spans="7:15" x14ac:dyDescent="0.3">
      <c r="G1923" s="7" t="s">
        <v>19</v>
      </c>
      <c r="H1923" s="7" t="s">
        <v>201</v>
      </c>
      <c r="N1923" s="7" t="s">
        <v>19</v>
      </c>
      <c r="O1923" s="7" t="s">
        <v>201</v>
      </c>
    </row>
    <row r="1924" spans="7:15" x14ac:dyDescent="0.3">
      <c r="G1924" s="6" t="s">
        <v>19</v>
      </c>
      <c r="H1924" s="6" t="s">
        <v>77</v>
      </c>
      <c r="N1924" s="6" t="s">
        <v>19</v>
      </c>
      <c r="O1924" s="6" t="s">
        <v>77</v>
      </c>
    </row>
    <row r="1925" spans="7:15" x14ac:dyDescent="0.3">
      <c r="G1925" s="7" t="s">
        <v>19</v>
      </c>
      <c r="H1925" s="7" t="s">
        <v>77</v>
      </c>
      <c r="N1925" s="7" t="s">
        <v>19</v>
      </c>
      <c r="O1925" s="7" t="s">
        <v>77</v>
      </c>
    </row>
    <row r="1926" spans="7:15" x14ac:dyDescent="0.3">
      <c r="G1926" s="6" t="s">
        <v>19</v>
      </c>
      <c r="H1926" s="6" t="s">
        <v>77</v>
      </c>
      <c r="N1926" s="6" t="s">
        <v>19</v>
      </c>
      <c r="O1926" s="6" t="s">
        <v>77</v>
      </c>
    </row>
    <row r="1927" spans="7:15" x14ac:dyDescent="0.3">
      <c r="G1927" s="7" t="s">
        <v>19</v>
      </c>
      <c r="H1927" s="7" t="s">
        <v>77</v>
      </c>
      <c r="N1927" s="7" t="s">
        <v>19</v>
      </c>
      <c r="O1927" s="7" t="s">
        <v>77</v>
      </c>
    </row>
    <row r="1928" spans="7:15" x14ac:dyDescent="0.3">
      <c r="G1928" s="6" t="s">
        <v>19</v>
      </c>
      <c r="H1928" s="6" t="s">
        <v>108</v>
      </c>
      <c r="N1928" s="6" t="s">
        <v>19</v>
      </c>
      <c r="O1928" s="6" t="s">
        <v>108</v>
      </c>
    </row>
    <row r="1929" spans="7:15" x14ac:dyDescent="0.3">
      <c r="G1929" s="7" t="s">
        <v>19</v>
      </c>
      <c r="H1929" s="7" t="s">
        <v>110</v>
      </c>
      <c r="N1929" s="7" t="s">
        <v>19</v>
      </c>
      <c r="O1929" s="7" t="s">
        <v>110</v>
      </c>
    </row>
    <row r="1930" spans="7:15" x14ac:dyDescent="0.3">
      <c r="G1930" s="6" t="s">
        <v>19</v>
      </c>
      <c r="H1930" s="6" t="s">
        <v>113</v>
      </c>
      <c r="N1930" s="6" t="s">
        <v>19</v>
      </c>
      <c r="O1930" s="6" t="s">
        <v>113</v>
      </c>
    </row>
    <row r="1931" spans="7:15" x14ac:dyDescent="0.3">
      <c r="G1931" s="7" t="s">
        <v>19</v>
      </c>
      <c r="H1931" s="7" t="s">
        <v>113</v>
      </c>
      <c r="N1931" s="7" t="s">
        <v>19</v>
      </c>
      <c r="O1931" s="7" t="s">
        <v>113</v>
      </c>
    </row>
    <row r="1932" spans="7:15" x14ac:dyDescent="0.3">
      <c r="G1932" s="6" t="s">
        <v>19</v>
      </c>
      <c r="H1932" s="6" t="s">
        <v>82</v>
      </c>
      <c r="N1932" s="6" t="s">
        <v>19</v>
      </c>
      <c r="O1932" s="6" t="s">
        <v>82</v>
      </c>
    </row>
    <row r="1933" spans="7:15" x14ac:dyDescent="0.3">
      <c r="G1933" s="7" t="s">
        <v>19</v>
      </c>
      <c r="H1933" s="7" t="s">
        <v>115</v>
      </c>
      <c r="N1933" s="7" t="s">
        <v>19</v>
      </c>
      <c r="O1933" s="7" t="s">
        <v>115</v>
      </c>
    </row>
    <row r="1934" spans="7:15" x14ac:dyDescent="0.3">
      <c r="G1934" s="6" t="s">
        <v>19</v>
      </c>
      <c r="H1934" s="6" t="s">
        <v>115</v>
      </c>
      <c r="N1934" s="6" t="s">
        <v>19</v>
      </c>
      <c r="O1934" s="6" t="s">
        <v>115</v>
      </c>
    </row>
    <row r="1935" spans="7:15" x14ac:dyDescent="0.3">
      <c r="G1935" s="7" t="s">
        <v>19</v>
      </c>
      <c r="H1935" s="7" t="s">
        <v>24</v>
      </c>
      <c r="N1935" s="7" t="s">
        <v>19</v>
      </c>
      <c r="O1935" s="7" t="s">
        <v>24</v>
      </c>
    </row>
    <row r="1936" spans="7:15" x14ac:dyDescent="0.3">
      <c r="G1936" s="6" t="s">
        <v>19</v>
      </c>
      <c r="H1936" s="6" t="s">
        <v>24</v>
      </c>
      <c r="N1936" s="6" t="s">
        <v>19</v>
      </c>
      <c r="O1936" s="6" t="s">
        <v>24</v>
      </c>
    </row>
    <row r="1937" spans="7:15" x14ac:dyDescent="0.3">
      <c r="G1937" s="7" t="s">
        <v>19</v>
      </c>
      <c r="H1937" s="7" t="s">
        <v>208</v>
      </c>
      <c r="N1937" s="7" t="s">
        <v>19</v>
      </c>
      <c r="O1937" s="7" t="s">
        <v>208</v>
      </c>
    </row>
    <row r="1938" spans="7:15" x14ac:dyDescent="0.3">
      <c r="G1938" s="6" t="s">
        <v>19</v>
      </c>
      <c r="H1938" s="6" t="s">
        <v>587</v>
      </c>
      <c r="N1938" s="6" t="s">
        <v>19</v>
      </c>
      <c r="O1938" s="6" t="s">
        <v>587</v>
      </c>
    </row>
    <row r="1939" spans="7:15" x14ac:dyDescent="0.3">
      <c r="G1939" s="7" t="s">
        <v>19</v>
      </c>
      <c r="H1939" s="7" t="s">
        <v>949</v>
      </c>
      <c r="N1939" s="7" t="s">
        <v>19</v>
      </c>
      <c r="O1939" s="7" t="s">
        <v>949</v>
      </c>
    </row>
    <row r="1940" spans="7:15" x14ac:dyDescent="0.3">
      <c r="G1940" s="6" t="s">
        <v>19</v>
      </c>
      <c r="H1940" s="6" t="s">
        <v>33</v>
      </c>
      <c r="N1940" s="6" t="s">
        <v>19</v>
      </c>
      <c r="O1940" s="6" t="s">
        <v>33</v>
      </c>
    </row>
    <row r="1941" spans="7:15" x14ac:dyDescent="0.3">
      <c r="G1941" s="7" t="s">
        <v>19</v>
      </c>
      <c r="H1941" s="7" t="s">
        <v>33</v>
      </c>
      <c r="N1941" s="7" t="s">
        <v>19</v>
      </c>
      <c r="O1941" s="7" t="s">
        <v>33</v>
      </c>
    </row>
    <row r="1942" spans="7:15" x14ac:dyDescent="0.3">
      <c r="G1942" s="6" t="s">
        <v>19</v>
      </c>
      <c r="H1942" s="6" t="s">
        <v>33</v>
      </c>
      <c r="N1942" s="6" t="s">
        <v>19</v>
      </c>
      <c r="O1942" s="6" t="s">
        <v>33</v>
      </c>
    </row>
    <row r="1943" spans="7:15" x14ac:dyDescent="0.3">
      <c r="G1943" s="7" t="s">
        <v>19</v>
      </c>
      <c r="H1943" s="7" t="s">
        <v>33</v>
      </c>
      <c r="N1943" s="7" t="s">
        <v>19</v>
      </c>
      <c r="O1943" s="7" t="s">
        <v>33</v>
      </c>
    </row>
    <row r="1944" spans="7:15" x14ac:dyDescent="0.3">
      <c r="G1944" s="6" t="s">
        <v>19</v>
      </c>
      <c r="H1944" s="6" t="s">
        <v>33</v>
      </c>
      <c r="N1944" s="6" t="s">
        <v>19</v>
      </c>
      <c r="O1944" s="6" t="s">
        <v>33</v>
      </c>
    </row>
    <row r="1945" spans="7:15" x14ac:dyDescent="0.3">
      <c r="G1945" s="7" t="s">
        <v>19</v>
      </c>
      <c r="H1945" s="7" t="s">
        <v>33</v>
      </c>
      <c r="N1945" s="7" t="s">
        <v>19</v>
      </c>
      <c r="O1945" s="7" t="s">
        <v>33</v>
      </c>
    </row>
    <row r="1946" spans="7:15" x14ac:dyDescent="0.3">
      <c r="G1946" s="6" t="s">
        <v>19</v>
      </c>
      <c r="H1946" s="6" t="s">
        <v>33</v>
      </c>
      <c r="N1946" s="6" t="s">
        <v>19</v>
      </c>
      <c r="O1946" s="6" t="s">
        <v>33</v>
      </c>
    </row>
    <row r="1947" spans="7:15" x14ac:dyDescent="0.3">
      <c r="G1947" s="7" t="s">
        <v>19</v>
      </c>
      <c r="H1947" s="7" t="s">
        <v>33</v>
      </c>
      <c r="N1947" s="7" t="s">
        <v>19</v>
      </c>
      <c r="O1947" s="7" t="s">
        <v>33</v>
      </c>
    </row>
    <row r="1948" spans="7:15" x14ac:dyDescent="0.3">
      <c r="G1948" s="6" t="s">
        <v>19</v>
      </c>
      <c r="H1948" s="6" t="s">
        <v>33</v>
      </c>
      <c r="N1948" s="6" t="s">
        <v>19</v>
      </c>
      <c r="O1948" s="6" t="s">
        <v>33</v>
      </c>
    </row>
    <row r="1949" spans="7:15" x14ac:dyDescent="0.3">
      <c r="G1949" s="7" t="s">
        <v>19</v>
      </c>
      <c r="H1949" s="7" t="s">
        <v>33</v>
      </c>
      <c r="N1949" s="7" t="s">
        <v>19</v>
      </c>
      <c r="O1949" s="7" t="s">
        <v>33</v>
      </c>
    </row>
    <row r="1950" spans="7:15" x14ac:dyDescent="0.3">
      <c r="G1950" s="6" t="s">
        <v>19</v>
      </c>
      <c r="H1950" s="6" t="s">
        <v>33</v>
      </c>
      <c r="N1950" s="6" t="s">
        <v>19</v>
      </c>
      <c r="O1950" s="6" t="s">
        <v>33</v>
      </c>
    </row>
    <row r="1951" spans="7:15" x14ac:dyDescent="0.3">
      <c r="G1951" s="7" t="s">
        <v>19</v>
      </c>
      <c r="H1951" s="7" t="s">
        <v>33</v>
      </c>
      <c r="N1951" s="7" t="s">
        <v>19</v>
      </c>
      <c r="O1951" s="7" t="s">
        <v>33</v>
      </c>
    </row>
    <row r="1952" spans="7:15" x14ac:dyDescent="0.3">
      <c r="G1952" s="6" t="s">
        <v>19</v>
      </c>
      <c r="H1952" s="6" t="s">
        <v>33</v>
      </c>
      <c r="N1952" s="6" t="s">
        <v>19</v>
      </c>
      <c r="O1952" s="6" t="s">
        <v>33</v>
      </c>
    </row>
    <row r="1953" spans="7:15" x14ac:dyDescent="0.3">
      <c r="G1953" s="7" t="s">
        <v>19</v>
      </c>
      <c r="H1953" s="7" t="s">
        <v>364</v>
      </c>
      <c r="N1953" s="7" t="s">
        <v>19</v>
      </c>
      <c r="O1953" s="7" t="s">
        <v>364</v>
      </c>
    </row>
    <row r="1954" spans="7:15" x14ac:dyDescent="0.3">
      <c r="G1954" s="6" t="s">
        <v>19</v>
      </c>
      <c r="H1954" s="6" t="s">
        <v>188</v>
      </c>
      <c r="N1954" s="6" t="s">
        <v>19</v>
      </c>
      <c r="O1954" s="6" t="s">
        <v>188</v>
      </c>
    </row>
    <row r="1955" spans="7:15" x14ac:dyDescent="0.3">
      <c r="G1955" s="7" t="s">
        <v>19</v>
      </c>
      <c r="H1955" s="7" t="s">
        <v>52</v>
      </c>
      <c r="N1955" s="7" t="s">
        <v>19</v>
      </c>
      <c r="O1955" s="7" t="s">
        <v>52</v>
      </c>
    </row>
    <row r="1956" spans="7:15" x14ac:dyDescent="0.3">
      <c r="G1956" s="6" t="s">
        <v>19</v>
      </c>
      <c r="H1956" s="6" t="s">
        <v>52</v>
      </c>
      <c r="N1956" s="6" t="s">
        <v>19</v>
      </c>
      <c r="O1956" s="6" t="s">
        <v>52</v>
      </c>
    </row>
    <row r="1957" spans="7:15" x14ac:dyDescent="0.3">
      <c r="G1957" s="7" t="s">
        <v>19</v>
      </c>
      <c r="H1957" s="7" t="s">
        <v>55</v>
      </c>
      <c r="N1957" s="7" t="s">
        <v>19</v>
      </c>
      <c r="O1957" s="7" t="s">
        <v>55</v>
      </c>
    </row>
    <row r="1958" spans="7:15" x14ac:dyDescent="0.3">
      <c r="G1958" s="6" t="s">
        <v>19</v>
      </c>
      <c r="H1958" s="6" t="s">
        <v>55</v>
      </c>
      <c r="N1958" s="6" t="s">
        <v>19</v>
      </c>
      <c r="O1958" s="6" t="s">
        <v>55</v>
      </c>
    </row>
    <row r="1959" spans="7:15" x14ac:dyDescent="0.3">
      <c r="G1959" s="7" t="s">
        <v>19</v>
      </c>
      <c r="H1959" s="7" t="s">
        <v>62</v>
      </c>
      <c r="N1959" s="7" t="s">
        <v>19</v>
      </c>
      <c r="O1959" s="7" t="s">
        <v>62</v>
      </c>
    </row>
    <row r="1960" spans="7:15" x14ac:dyDescent="0.3">
      <c r="G1960" s="6" t="s">
        <v>19</v>
      </c>
      <c r="H1960" s="6" t="s">
        <v>62</v>
      </c>
      <c r="N1960" s="6" t="s">
        <v>19</v>
      </c>
      <c r="O1960" s="6" t="s">
        <v>62</v>
      </c>
    </row>
    <row r="1961" spans="7:15" x14ac:dyDescent="0.3">
      <c r="G1961" s="7" t="s">
        <v>19</v>
      </c>
      <c r="H1961" s="7" t="s">
        <v>62</v>
      </c>
      <c r="N1961" s="7" t="s">
        <v>19</v>
      </c>
      <c r="O1961" s="7" t="s">
        <v>62</v>
      </c>
    </row>
    <row r="1962" spans="7:15" x14ac:dyDescent="0.3">
      <c r="G1962" s="6" t="s">
        <v>19</v>
      </c>
      <c r="H1962" s="6" t="s">
        <v>62</v>
      </c>
      <c r="N1962" s="6" t="s">
        <v>19</v>
      </c>
      <c r="O1962" s="6" t="s">
        <v>62</v>
      </c>
    </row>
    <row r="1963" spans="7:15" x14ac:dyDescent="0.3">
      <c r="G1963" s="7" t="s">
        <v>19</v>
      </c>
      <c r="H1963" s="7" t="s">
        <v>62</v>
      </c>
      <c r="N1963" s="7" t="s">
        <v>19</v>
      </c>
      <c r="O1963" s="7" t="s">
        <v>62</v>
      </c>
    </row>
    <row r="1964" spans="7:15" x14ac:dyDescent="0.3">
      <c r="G1964" s="6" t="s">
        <v>19</v>
      </c>
      <c r="H1964" s="6" t="s">
        <v>62</v>
      </c>
      <c r="N1964" s="6" t="s">
        <v>19</v>
      </c>
      <c r="O1964" s="6" t="s">
        <v>62</v>
      </c>
    </row>
    <row r="1965" spans="7:15" x14ac:dyDescent="0.3">
      <c r="G1965" s="7" t="s">
        <v>19</v>
      </c>
      <c r="H1965" s="7" t="s">
        <v>62</v>
      </c>
      <c r="N1965" s="7" t="s">
        <v>19</v>
      </c>
      <c r="O1965" s="7" t="s">
        <v>62</v>
      </c>
    </row>
    <row r="1966" spans="7:15" x14ac:dyDescent="0.3">
      <c r="G1966" s="6" t="s">
        <v>19</v>
      </c>
      <c r="H1966" s="6" t="s">
        <v>62</v>
      </c>
      <c r="N1966" s="6" t="s">
        <v>19</v>
      </c>
      <c r="O1966" s="6" t="s">
        <v>62</v>
      </c>
    </row>
    <row r="1967" spans="7:15" x14ac:dyDescent="0.3">
      <c r="G1967" s="7" t="s">
        <v>19</v>
      </c>
      <c r="H1967" s="7" t="s">
        <v>62</v>
      </c>
      <c r="N1967" s="7" t="s">
        <v>19</v>
      </c>
      <c r="O1967" s="7" t="s">
        <v>62</v>
      </c>
    </row>
    <row r="1968" spans="7:15" x14ac:dyDescent="0.3">
      <c r="G1968" s="6" t="s">
        <v>19</v>
      </c>
      <c r="H1968" s="6" t="s">
        <v>62</v>
      </c>
      <c r="N1968" s="6" t="s">
        <v>19</v>
      </c>
      <c r="O1968" s="6" t="s">
        <v>62</v>
      </c>
    </row>
    <row r="1969" spans="7:15" x14ac:dyDescent="0.3">
      <c r="G1969" s="7" t="s">
        <v>19</v>
      </c>
      <c r="H1969" s="7" t="s">
        <v>72</v>
      </c>
      <c r="N1969" s="7" t="s">
        <v>19</v>
      </c>
      <c r="O1969" s="7" t="s">
        <v>72</v>
      </c>
    </row>
    <row r="1970" spans="7:15" x14ac:dyDescent="0.3">
      <c r="G1970" s="6" t="s">
        <v>19</v>
      </c>
      <c r="H1970" s="6" t="s">
        <v>72</v>
      </c>
      <c r="N1970" s="6" t="s">
        <v>19</v>
      </c>
      <c r="O1970" s="6" t="s">
        <v>72</v>
      </c>
    </row>
    <row r="1971" spans="7:15" x14ac:dyDescent="0.3">
      <c r="G1971" s="7" t="s">
        <v>19</v>
      </c>
      <c r="H1971" s="7" t="s">
        <v>72</v>
      </c>
      <c r="N1971" s="7" t="s">
        <v>19</v>
      </c>
      <c r="O1971" s="7" t="s">
        <v>72</v>
      </c>
    </row>
    <row r="1972" spans="7:15" x14ac:dyDescent="0.3">
      <c r="G1972" s="6" t="s">
        <v>19</v>
      </c>
      <c r="H1972" s="6" t="s">
        <v>77</v>
      </c>
      <c r="N1972" s="6" t="s">
        <v>19</v>
      </c>
      <c r="O1972" s="6" t="s">
        <v>77</v>
      </c>
    </row>
    <row r="1973" spans="7:15" x14ac:dyDescent="0.3">
      <c r="G1973" s="7" t="s">
        <v>19</v>
      </c>
      <c r="H1973" s="7" t="s">
        <v>77</v>
      </c>
      <c r="N1973" s="7" t="s">
        <v>19</v>
      </c>
      <c r="O1973" s="7" t="s">
        <v>77</v>
      </c>
    </row>
    <row r="1974" spans="7:15" x14ac:dyDescent="0.3">
      <c r="G1974" s="6" t="s">
        <v>19</v>
      </c>
      <c r="H1974" s="6" t="s">
        <v>292</v>
      </c>
      <c r="N1974" s="6" t="s">
        <v>19</v>
      </c>
      <c r="O1974" s="6" t="s">
        <v>292</v>
      </c>
    </row>
    <row r="1975" spans="7:15" x14ac:dyDescent="0.3">
      <c r="G1975" s="7" t="s">
        <v>19</v>
      </c>
      <c r="H1975" s="7" t="s">
        <v>113</v>
      </c>
      <c r="N1975" s="7" t="s">
        <v>19</v>
      </c>
      <c r="O1975" s="7" t="s">
        <v>113</v>
      </c>
    </row>
    <row r="1976" spans="7:15" x14ac:dyDescent="0.3">
      <c r="G1976" s="6" t="s">
        <v>19</v>
      </c>
      <c r="H1976" s="6" t="s">
        <v>113</v>
      </c>
      <c r="N1976" s="6" t="s">
        <v>19</v>
      </c>
      <c r="O1976" s="6" t="s">
        <v>113</v>
      </c>
    </row>
    <row r="1977" spans="7:15" x14ac:dyDescent="0.3">
      <c r="G1977" s="7" t="s">
        <v>19</v>
      </c>
      <c r="H1977" s="7" t="s">
        <v>997</v>
      </c>
      <c r="N1977" s="7" t="s">
        <v>19</v>
      </c>
      <c r="O1977" s="7" t="s">
        <v>997</v>
      </c>
    </row>
    <row r="1978" spans="7:15" x14ac:dyDescent="0.3">
      <c r="G1978" s="6" t="s">
        <v>19</v>
      </c>
      <c r="H1978" s="6" t="s">
        <v>82</v>
      </c>
      <c r="N1978" s="6" t="s">
        <v>19</v>
      </c>
      <c r="O1978" s="6" t="s">
        <v>82</v>
      </c>
    </row>
    <row r="1979" spans="7:15" x14ac:dyDescent="0.3">
      <c r="G1979" s="7" t="s">
        <v>19</v>
      </c>
      <c r="H1979" s="7" t="s">
        <v>115</v>
      </c>
      <c r="N1979" s="7" t="s">
        <v>19</v>
      </c>
      <c r="O1979" s="7" t="s">
        <v>115</v>
      </c>
    </row>
    <row r="1980" spans="7:15" x14ac:dyDescent="0.3">
      <c r="G1980" s="6" t="s">
        <v>19</v>
      </c>
      <c r="H1980" s="6" t="s">
        <v>24</v>
      </c>
      <c r="N1980" s="6" t="s">
        <v>19</v>
      </c>
      <c r="O1980" s="6" t="s">
        <v>24</v>
      </c>
    </row>
    <row r="1981" spans="7:15" x14ac:dyDescent="0.3">
      <c r="G1981" s="7" t="s">
        <v>19</v>
      </c>
      <c r="H1981" s="7" t="s">
        <v>24</v>
      </c>
      <c r="N1981" s="7" t="s">
        <v>19</v>
      </c>
      <c r="O1981" s="7" t="s">
        <v>24</v>
      </c>
    </row>
    <row r="1982" spans="7:15" x14ac:dyDescent="0.3">
      <c r="G1982" s="6" t="s">
        <v>19</v>
      </c>
      <c r="H1982" s="6" t="s">
        <v>33</v>
      </c>
      <c r="N1982" s="6" t="s">
        <v>19</v>
      </c>
      <c r="O1982" s="6" t="s">
        <v>33</v>
      </c>
    </row>
    <row r="1983" spans="7:15" x14ac:dyDescent="0.3">
      <c r="G1983" s="7" t="s">
        <v>19</v>
      </c>
      <c r="H1983" s="7" t="s">
        <v>33</v>
      </c>
      <c r="N1983" s="7" t="s">
        <v>19</v>
      </c>
      <c r="O1983" s="7" t="s">
        <v>33</v>
      </c>
    </row>
    <row r="1984" spans="7:15" x14ac:dyDescent="0.3">
      <c r="G1984" s="6" t="s">
        <v>19</v>
      </c>
      <c r="H1984" s="6" t="s">
        <v>33</v>
      </c>
      <c r="N1984" s="6" t="s">
        <v>19</v>
      </c>
      <c r="O1984" s="6" t="s">
        <v>33</v>
      </c>
    </row>
    <row r="1985" spans="7:15" x14ac:dyDescent="0.3">
      <c r="G1985" s="7" t="s">
        <v>19</v>
      </c>
      <c r="H1985" s="7" t="s">
        <v>33</v>
      </c>
      <c r="N1985" s="7" t="s">
        <v>19</v>
      </c>
      <c r="O1985" s="7" t="s">
        <v>33</v>
      </c>
    </row>
    <row r="1986" spans="7:15" x14ac:dyDescent="0.3">
      <c r="G1986" s="6" t="s">
        <v>19</v>
      </c>
      <c r="H1986" s="6" t="s">
        <v>33</v>
      </c>
      <c r="N1986" s="6" t="s">
        <v>19</v>
      </c>
      <c r="O1986" s="6" t="s">
        <v>33</v>
      </c>
    </row>
    <row r="1987" spans="7:15" x14ac:dyDescent="0.3">
      <c r="G1987" s="7" t="s">
        <v>19</v>
      </c>
      <c r="H1987" s="7" t="s">
        <v>33</v>
      </c>
      <c r="N1987" s="7" t="s">
        <v>19</v>
      </c>
      <c r="O1987" s="7" t="s">
        <v>33</v>
      </c>
    </row>
    <row r="1988" spans="7:15" x14ac:dyDescent="0.3">
      <c r="G1988" s="6" t="s">
        <v>19</v>
      </c>
      <c r="H1988" s="6" t="s">
        <v>33</v>
      </c>
      <c r="N1988" s="6" t="s">
        <v>19</v>
      </c>
      <c r="O1988" s="6" t="s">
        <v>33</v>
      </c>
    </row>
    <row r="1989" spans="7:15" x14ac:dyDescent="0.3">
      <c r="G1989" s="7" t="s">
        <v>19</v>
      </c>
      <c r="H1989" s="7" t="s">
        <v>33</v>
      </c>
      <c r="N1989" s="7" t="s">
        <v>19</v>
      </c>
      <c r="O1989" s="7" t="s">
        <v>33</v>
      </c>
    </row>
    <row r="1990" spans="7:15" x14ac:dyDescent="0.3">
      <c r="G1990" s="6" t="s">
        <v>19</v>
      </c>
      <c r="H1990" s="6" t="s">
        <v>33</v>
      </c>
      <c r="N1990" s="6" t="s">
        <v>19</v>
      </c>
      <c r="O1990" s="6" t="s">
        <v>33</v>
      </c>
    </row>
    <row r="1991" spans="7:15" x14ac:dyDescent="0.3">
      <c r="G1991" s="7" t="s">
        <v>19</v>
      </c>
      <c r="H1991" s="7" t="s">
        <v>33</v>
      </c>
      <c r="N1991" s="7" t="s">
        <v>19</v>
      </c>
      <c r="O1991" s="7" t="s">
        <v>33</v>
      </c>
    </row>
    <row r="1992" spans="7:15" x14ac:dyDescent="0.3">
      <c r="G1992" s="6" t="s">
        <v>19</v>
      </c>
      <c r="H1992" s="6" t="s">
        <v>33</v>
      </c>
      <c r="N1992" s="6" t="s">
        <v>19</v>
      </c>
      <c r="O1992" s="6" t="s">
        <v>33</v>
      </c>
    </row>
    <row r="1993" spans="7:15" x14ac:dyDescent="0.3">
      <c r="G1993" s="7" t="s">
        <v>19</v>
      </c>
      <c r="H1993" s="7" t="s">
        <v>33</v>
      </c>
      <c r="N1993" s="7" t="s">
        <v>19</v>
      </c>
      <c r="O1993" s="7" t="s">
        <v>33</v>
      </c>
    </row>
    <row r="1994" spans="7:15" x14ac:dyDescent="0.3">
      <c r="G1994" s="6" t="s">
        <v>19</v>
      </c>
      <c r="H1994" s="6" t="s">
        <v>55</v>
      </c>
      <c r="N1994" s="6" t="s">
        <v>19</v>
      </c>
      <c r="O1994" s="6" t="s">
        <v>55</v>
      </c>
    </row>
    <row r="1995" spans="7:15" x14ac:dyDescent="0.3">
      <c r="G1995" s="7" t="s">
        <v>19</v>
      </c>
      <c r="H1995" s="7" t="s">
        <v>59</v>
      </c>
      <c r="N1995" s="7" t="s">
        <v>19</v>
      </c>
      <c r="O1995" s="7" t="s">
        <v>59</v>
      </c>
    </row>
    <row r="1996" spans="7:15" x14ac:dyDescent="0.3">
      <c r="G1996" s="6" t="s">
        <v>19</v>
      </c>
      <c r="H1996" s="6" t="s">
        <v>59</v>
      </c>
      <c r="N1996" s="6" t="s">
        <v>19</v>
      </c>
      <c r="O1996" s="6" t="s">
        <v>59</v>
      </c>
    </row>
    <row r="1997" spans="7:15" x14ac:dyDescent="0.3">
      <c r="G1997" s="7" t="s">
        <v>19</v>
      </c>
      <c r="H1997" s="7" t="s">
        <v>62</v>
      </c>
      <c r="N1997" s="7" t="s">
        <v>19</v>
      </c>
      <c r="O1997" s="7" t="s">
        <v>62</v>
      </c>
    </row>
    <row r="1998" spans="7:15" x14ac:dyDescent="0.3">
      <c r="G1998" s="6" t="s">
        <v>19</v>
      </c>
      <c r="H1998" s="6" t="s">
        <v>62</v>
      </c>
      <c r="N1998" s="6" t="s">
        <v>19</v>
      </c>
      <c r="O1998" s="6" t="s">
        <v>62</v>
      </c>
    </row>
    <row r="1999" spans="7:15" x14ac:dyDescent="0.3">
      <c r="G1999" s="7" t="s">
        <v>19</v>
      </c>
      <c r="H1999" s="7" t="s">
        <v>62</v>
      </c>
      <c r="N1999" s="7" t="s">
        <v>19</v>
      </c>
      <c r="O1999" s="7" t="s">
        <v>62</v>
      </c>
    </row>
    <row r="2000" spans="7:15" x14ac:dyDescent="0.3">
      <c r="G2000" s="6" t="s">
        <v>19</v>
      </c>
      <c r="H2000" s="6" t="s">
        <v>62</v>
      </c>
      <c r="N2000" s="6" t="s">
        <v>19</v>
      </c>
      <c r="O2000" s="6" t="s">
        <v>62</v>
      </c>
    </row>
    <row r="2001" spans="7:15" x14ac:dyDescent="0.3">
      <c r="G2001" s="7" t="s">
        <v>19</v>
      </c>
      <c r="H2001" s="7" t="s">
        <v>103</v>
      </c>
      <c r="N2001" s="7" t="s">
        <v>19</v>
      </c>
      <c r="O2001" s="7" t="s">
        <v>103</v>
      </c>
    </row>
    <row r="2002" spans="7:15" x14ac:dyDescent="0.3">
      <c r="G2002" s="6" t="s">
        <v>19</v>
      </c>
      <c r="H2002" s="6" t="s">
        <v>201</v>
      </c>
      <c r="N2002" s="6" t="s">
        <v>19</v>
      </c>
      <c r="O2002" s="6" t="s">
        <v>201</v>
      </c>
    </row>
    <row r="2003" spans="7:15" x14ac:dyDescent="0.3">
      <c r="G2003" s="7" t="s">
        <v>19</v>
      </c>
      <c r="H2003" s="7" t="s">
        <v>72</v>
      </c>
      <c r="N2003" s="7" t="s">
        <v>19</v>
      </c>
      <c r="O2003" s="7" t="s">
        <v>72</v>
      </c>
    </row>
    <row r="2004" spans="7:15" x14ac:dyDescent="0.3">
      <c r="G2004" s="6" t="s">
        <v>19</v>
      </c>
      <c r="H2004" s="6" t="s">
        <v>72</v>
      </c>
      <c r="N2004" s="6" t="s">
        <v>19</v>
      </c>
      <c r="O2004" s="6" t="s">
        <v>72</v>
      </c>
    </row>
    <row r="2005" spans="7:15" x14ac:dyDescent="0.3">
      <c r="G2005" s="7" t="s">
        <v>19</v>
      </c>
      <c r="H2005" s="7" t="s">
        <v>77</v>
      </c>
      <c r="N2005" s="7" t="s">
        <v>19</v>
      </c>
      <c r="O2005" s="7" t="s">
        <v>77</v>
      </c>
    </row>
    <row r="2006" spans="7:15" x14ac:dyDescent="0.3">
      <c r="G2006" s="6" t="s">
        <v>19</v>
      </c>
      <c r="H2006" s="6" t="s">
        <v>77</v>
      </c>
      <c r="N2006" s="6" t="s">
        <v>19</v>
      </c>
      <c r="O2006" s="6" t="s">
        <v>77</v>
      </c>
    </row>
    <row r="2007" spans="7:15" x14ac:dyDescent="0.3">
      <c r="G2007" s="7" t="s">
        <v>19</v>
      </c>
      <c r="H2007" s="7" t="s">
        <v>108</v>
      </c>
      <c r="N2007" s="7" t="s">
        <v>19</v>
      </c>
      <c r="O2007" s="7" t="s">
        <v>108</v>
      </c>
    </row>
    <row r="2008" spans="7:15" x14ac:dyDescent="0.3">
      <c r="G2008" s="6" t="s">
        <v>19</v>
      </c>
      <c r="H2008" s="6" t="s">
        <v>110</v>
      </c>
      <c r="N2008" s="6" t="s">
        <v>19</v>
      </c>
      <c r="O2008" s="6" t="s">
        <v>110</v>
      </c>
    </row>
    <row r="2009" spans="7:15" x14ac:dyDescent="0.3">
      <c r="G2009" s="7" t="s">
        <v>19</v>
      </c>
      <c r="H2009" s="7" t="s">
        <v>113</v>
      </c>
      <c r="N2009" s="7" t="s">
        <v>19</v>
      </c>
      <c r="O2009" s="7" t="s">
        <v>113</v>
      </c>
    </row>
    <row r="2010" spans="7:15" x14ac:dyDescent="0.3">
      <c r="G2010" s="6" t="s">
        <v>19</v>
      </c>
      <c r="H2010" s="6" t="s">
        <v>115</v>
      </c>
      <c r="N2010" s="6" t="s">
        <v>19</v>
      </c>
      <c r="O2010" s="6" t="s">
        <v>115</v>
      </c>
    </row>
    <row r="2011" spans="7:15" x14ac:dyDescent="0.3">
      <c r="G2011" s="7" t="s">
        <v>19</v>
      </c>
      <c r="H2011" s="7" t="s">
        <v>115</v>
      </c>
      <c r="N2011" s="7" t="s">
        <v>19</v>
      </c>
      <c r="O2011" s="7" t="s">
        <v>115</v>
      </c>
    </row>
    <row r="2012" spans="7:15" x14ac:dyDescent="0.3">
      <c r="G2012" s="6" t="s">
        <v>19</v>
      </c>
      <c r="H2012" s="6" t="s">
        <v>115</v>
      </c>
      <c r="N2012" s="6" t="s">
        <v>19</v>
      </c>
      <c r="O2012" s="6" t="s">
        <v>115</v>
      </c>
    </row>
    <row r="2013" spans="7:15" x14ac:dyDescent="0.3">
      <c r="G2013" s="7" t="s">
        <v>19</v>
      </c>
      <c r="H2013" s="7" t="s">
        <v>24</v>
      </c>
      <c r="N2013" s="7" t="s">
        <v>19</v>
      </c>
      <c r="O2013" s="7" t="s">
        <v>24</v>
      </c>
    </row>
    <row r="2014" spans="7:15" x14ac:dyDescent="0.3">
      <c r="G2014" s="6" t="s">
        <v>19</v>
      </c>
      <c r="H2014" s="6" t="s">
        <v>334</v>
      </c>
      <c r="N2014" s="6" t="s">
        <v>19</v>
      </c>
      <c r="O2014" s="6" t="s">
        <v>334</v>
      </c>
    </row>
    <row r="2015" spans="7:15" x14ac:dyDescent="0.3">
      <c r="G2015" s="7" t="s">
        <v>19</v>
      </c>
      <c r="H2015" s="7" t="s">
        <v>33</v>
      </c>
      <c r="N2015" s="7" t="s">
        <v>19</v>
      </c>
      <c r="O2015" s="7" t="s">
        <v>33</v>
      </c>
    </row>
    <row r="2016" spans="7:15" x14ac:dyDescent="0.3">
      <c r="G2016" s="6" t="s">
        <v>19</v>
      </c>
      <c r="H2016" s="6" t="s">
        <v>33</v>
      </c>
      <c r="N2016" s="6" t="s">
        <v>19</v>
      </c>
      <c r="O2016" s="6" t="s">
        <v>33</v>
      </c>
    </row>
    <row r="2017" spans="7:15" x14ac:dyDescent="0.3">
      <c r="G2017" s="7" t="s">
        <v>19</v>
      </c>
      <c r="H2017" s="7" t="s">
        <v>33</v>
      </c>
      <c r="N2017" s="7" t="s">
        <v>19</v>
      </c>
      <c r="O2017" s="7" t="s">
        <v>33</v>
      </c>
    </row>
    <row r="2018" spans="7:15" x14ac:dyDescent="0.3">
      <c r="G2018" s="6" t="s">
        <v>19</v>
      </c>
      <c r="H2018" s="6" t="s">
        <v>33</v>
      </c>
      <c r="N2018" s="6" t="s">
        <v>19</v>
      </c>
      <c r="O2018" s="6" t="s">
        <v>33</v>
      </c>
    </row>
    <row r="2019" spans="7:15" x14ac:dyDescent="0.3">
      <c r="G2019" s="7" t="s">
        <v>19</v>
      </c>
      <c r="H2019" s="7" t="s">
        <v>33</v>
      </c>
      <c r="N2019" s="7" t="s">
        <v>19</v>
      </c>
      <c r="O2019" s="7" t="s">
        <v>33</v>
      </c>
    </row>
    <row r="2020" spans="7:15" x14ac:dyDescent="0.3">
      <c r="G2020" s="6" t="s">
        <v>19</v>
      </c>
      <c r="H2020" s="6" t="s">
        <v>33</v>
      </c>
      <c r="N2020" s="6" t="s">
        <v>19</v>
      </c>
      <c r="O2020" s="6" t="s">
        <v>33</v>
      </c>
    </row>
    <row r="2021" spans="7:15" x14ac:dyDescent="0.3">
      <c r="G2021" s="7" t="s">
        <v>19</v>
      </c>
      <c r="H2021" s="7" t="s">
        <v>33</v>
      </c>
      <c r="N2021" s="7" t="s">
        <v>19</v>
      </c>
      <c r="O2021" s="7" t="s">
        <v>33</v>
      </c>
    </row>
    <row r="2022" spans="7:15" x14ac:dyDescent="0.3">
      <c r="G2022" s="6" t="s">
        <v>19</v>
      </c>
      <c r="H2022" s="6" t="s">
        <v>33</v>
      </c>
      <c r="N2022" s="6" t="s">
        <v>19</v>
      </c>
      <c r="O2022" s="6" t="s">
        <v>33</v>
      </c>
    </row>
    <row r="2023" spans="7:15" x14ac:dyDescent="0.3">
      <c r="G2023" s="7" t="s">
        <v>19</v>
      </c>
      <c r="H2023" s="7" t="s">
        <v>33</v>
      </c>
      <c r="N2023" s="7" t="s">
        <v>19</v>
      </c>
      <c r="O2023" s="7" t="s">
        <v>33</v>
      </c>
    </row>
    <row r="2024" spans="7:15" x14ac:dyDescent="0.3">
      <c r="G2024" s="6" t="s">
        <v>19</v>
      </c>
      <c r="H2024" s="6" t="s">
        <v>188</v>
      </c>
      <c r="N2024" s="6" t="s">
        <v>19</v>
      </c>
      <c r="O2024" s="6" t="s">
        <v>188</v>
      </c>
    </row>
    <row r="2025" spans="7:15" x14ac:dyDescent="0.3">
      <c r="G2025" s="7" t="s">
        <v>19</v>
      </c>
      <c r="H2025" s="7" t="s">
        <v>59</v>
      </c>
      <c r="N2025" s="7" t="s">
        <v>19</v>
      </c>
      <c r="O2025" s="7" t="s">
        <v>59</v>
      </c>
    </row>
    <row r="2026" spans="7:15" x14ac:dyDescent="0.3">
      <c r="G2026" s="6" t="s">
        <v>19</v>
      </c>
      <c r="H2026" s="6" t="s">
        <v>62</v>
      </c>
      <c r="N2026" s="6" t="s">
        <v>19</v>
      </c>
      <c r="O2026" s="6" t="s">
        <v>62</v>
      </c>
    </row>
    <row r="2027" spans="7:15" x14ac:dyDescent="0.3">
      <c r="G2027" s="7" t="s">
        <v>19</v>
      </c>
      <c r="H2027" s="7" t="s">
        <v>62</v>
      </c>
      <c r="N2027" s="7" t="s">
        <v>19</v>
      </c>
      <c r="O2027" s="7" t="s">
        <v>62</v>
      </c>
    </row>
    <row r="2028" spans="7:15" x14ac:dyDescent="0.3">
      <c r="G2028" s="6" t="s">
        <v>19</v>
      </c>
      <c r="H2028" s="6" t="s">
        <v>62</v>
      </c>
      <c r="N2028" s="6" t="s">
        <v>19</v>
      </c>
      <c r="O2028" s="6" t="s">
        <v>62</v>
      </c>
    </row>
    <row r="2029" spans="7:15" x14ac:dyDescent="0.3">
      <c r="G2029" s="7" t="s">
        <v>19</v>
      </c>
      <c r="H2029" s="7" t="s">
        <v>62</v>
      </c>
      <c r="N2029" s="7" t="s">
        <v>19</v>
      </c>
      <c r="O2029" s="7" t="s">
        <v>62</v>
      </c>
    </row>
    <row r="2030" spans="7:15" x14ac:dyDescent="0.3">
      <c r="G2030" s="6" t="s">
        <v>19</v>
      </c>
      <c r="H2030" s="6" t="s">
        <v>62</v>
      </c>
      <c r="N2030" s="6" t="s">
        <v>19</v>
      </c>
      <c r="O2030" s="6" t="s">
        <v>62</v>
      </c>
    </row>
    <row r="2031" spans="7:15" x14ac:dyDescent="0.3">
      <c r="G2031" s="7" t="s">
        <v>19</v>
      </c>
      <c r="H2031" s="7" t="s">
        <v>77</v>
      </c>
      <c r="N2031" s="7" t="s">
        <v>19</v>
      </c>
      <c r="O2031" s="7" t="s">
        <v>77</v>
      </c>
    </row>
    <row r="2032" spans="7:15" x14ac:dyDescent="0.3">
      <c r="G2032" s="6" t="s">
        <v>19</v>
      </c>
      <c r="H2032" s="6" t="s">
        <v>77</v>
      </c>
      <c r="N2032" s="6" t="s">
        <v>19</v>
      </c>
      <c r="O2032" s="6" t="s">
        <v>77</v>
      </c>
    </row>
    <row r="2033" spans="7:15" x14ac:dyDescent="0.3">
      <c r="G2033" s="7" t="s">
        <v>19</v>
      </c>
      <c r="H2033" s="7" t="s">
        <v>113</v>
      </c>
      <c r="N2033" s="7" t="s">
        <v>19</v>
      </c>
      <c r="O2033" s="7" t="s">
        <v>113</v>
      </c>
    </row>
    <row r="2034" spans="7:15" x14ac:dyDescent="0.3">
      <c r="G2034" s="6" t="s">
        <v>19</v>
      </c>
      <c r="H2034" s="6" t="s">
        <v>115</v>
      </c>
      <c r="N2034" s="6" t="s">
        <v>19</v>
      </c>
      <c r="O2034" s="6" t="s">
        <v>115</v>
      </c>
    </row>
    <row r="2035" spans="7:15" x14ac:dyDescent="0.3">
      <c r="G2035" s="7" t="s">
        <v>19</v>
      </c>
      <c r="H2035" s="7" t="s">
        <v>147</v>
      </c>
      <c r="N2035" s="7" t="s">
        <v>19</v>
      </c>
      <c r="O2035" s="7" t="s">
        <v>147</v>
      </c>
    </row>
    <row r="2036" spans="7:15" x14ac:dyDescent="0.3">
      <c r="G2036" s="6" t="s">
        <v>19</v>
      </c>
      <c r="H2036" s="6" t="s">
        <v>33</v>
      </c>
      <c r="N2036" s="6" t="s">
        <v>19</v>
      </c>
      <c r="O2036" s="6" t="s">
        <v>33</v>
      </c>
    </row>
    <row r="2037" spans="7:15" x14ac:dyDescent="0.3">
      <c r="G2037" s="7" t="s">
        <v>19</v>
      </c>
      <c r="H2037" s="7" t="s">
        <v>33</v>
      </c>
      <c r="N2037" s="7" t="s">
        <v>19</v>
      </c>
      <c r="O2037" s="7" t="s">
        <v>33</v>
      </c>
    </row>
    <row r="2038" spans="7:15" x14ac:dyDescent="0.3">
      <c r="G2038" s="6" t="s">
        <v>19</v>
      </c>
      <c r="H2038" s="6" t="s">
        <v>33</v>
      </c>
      <c r="N2038" s="6" t="s">
        <v>19</v>
      </c>
      <c r="O2038" s="6" t="s">
        <v>33</v>
      </c>
    </row>
    <row r="2039" spans="7:15" x14ac:dyDescent="0.3">
      <c r="G2039" s="7" t="s">
        <v>19</v>
      </c>
      <c r="H2039" s="7" t="s">
        <v>33</v>
      </c>
      <c r="N2039" s="7" t="s">
        <v>19</v>
      </c>
      <c r="O2039" s="7" t="s">
        <v>33</v>
      </c>
    </row>
    <row r="2040" spans="7:15" x14ac:dyDescent="0.3">
      <c r="G2040" s="6" t="s">
        <v>19</v>
      </c>
      <c r="H2040" s="6" t="s">
        <v>33</v>
      </c>
      <c r="N2040" s="6" t="s">
        <v>19</v>
      </c>
      <c r="O2040" s="6" t="s">
        <v>33</v>
      </c>
    </row>
    <row r="2041" spans="7:15" x14ac:dyDescent="0.3">
      <c r="G2041" s="7" t="s">
        <v>19</v>
      </c>
      <c r="H2041" s="7" t="s">
        <v>188</v>
      </c>
      <c r="N2041" s="7" t="s">
        <v>19</v>
      </c>
      <c r="O2041" s="7" t="s">
        <v>188</v>
      </c>
    </row>
    <row r="2042" spans="7:15" x14ac:dyDescent="0.3">
      <c r="G2042" s="6" t="s">
        <v>19</v>
      </c>
      <c r="H2042" s="6" t="s">
        <v>188</v>
      </c>
      <c r="N2042" s="6" t="s">
        <v>19</v>
      </c>
      <c r="O2042" s="6" t="s">
        <v>188</v>
      </c>
    </row>
    <row r="2043" spans="7:15" x14ac:dyDescent="0.3">
      <c r="G2043" s="7" t="s">
        <v>19</v>
      </c>
      <c r="H2043" s="7" t="s">
        <v>55</v>
      </c>
      <c r="N2043" s="7" t="s">
        <v>19</v>
      </c>
      <c r="O2043" s="7" t="s">
        <v>55</v>
      </c>
    </row>
    <row r="2044" spans="7:15" x14ac:dyDescent="0.3">
      <c r="G2044" s="6" t="s">
        <v>19</v>
      </c>
      <c r="H2044" s="6" t="s">
        <v>62</v>
      </c>
      <c r="N2044" s="6" t="s">
        <v>19</v>
      </c>
      <c r="O2044" s="6" t="s">
        <v>62</v>
      </c>
    </row>
    <row r="2045" spans="7:15" x14ac:dyDescent="0.3">
      <c r="G2045" s="7" t="s">
        <v>19</v>
      </c>
      <c r="H2045" s="7" t="s">
        <v>62</v>
      </c>
      <c r="N2045" s="7" t="s">
        <v>19</v>
      </c>
      <c r="O2045" s="7" t="s">
        <v>62</v>
      </c>
    </row>
    <row r="2046" spans="7:15" x14ac:dyDescent="0.3">
      <c r="G2046" s="6" t="s">
        <v>19</v>
      </c>
      <c r="H2046" s="6" t="s">
        <v>72</v>
      </c>
      <c r="N2046" s="6" t="s">
        <v>19</v>
      </c>
      <c r="O2046" s="6" t="s">
        <v>72</v>
      </c>
    </row>
    <row r="2047" spans="7:15" x14ac:dyDescent="0.3">
      <c r="G2047" s="7" t="s">
        <v>19</v>
      </c>
      <c r="H2047" s="7" t="s">
        <v>77</v>
      </c>
      <c r="N2047" s="7" t="s">
        <v>19</v>
      </c>
      <c r="O2047" s="7" t="s">
        <v>77</v>
      </c>
    </row>
    <row r="2048" spans="7:15" x14ac:dyDescent="0.3">
      <c r="G2048" s="6" t="s">
        <v>19</v>
      </c>
      <c r="H2048" s="6" t="s">
        <v>309</v>
      </c>
      <c r="N2048" s="6" t="s">
        <v>19</v>
      </c>
      <c r="O2048" s="6" t="s">
        <v>309</v>
      </c>
    </row>
    <row r="2049" spans="7:15" x14ac:dyDescent="0.3">
      <c r="G2049" s="7" t="s">
        <v>19</v>
      </c>
      <c r="H2049" s="7" t="s">
        <v>108</v>
      </c>
      <c r="N2049" s="7" t="s">
        <v>19</v>
      </c>
      <c r="O2049" s="7" t="s">
        <v>108</v>
      </c>
    </row>
    <row r="2050" spans="7:15" x14ac:dyDescent="0.3">
      <c r="G2050" s="6" t="s">
        <v>19</v>
      </c>
      <c r="H2050" s="6" t="s">
        <v>110</v>
      </c>
      <c r="N2050" s="6" t="s">
        <v>19</v>
      </c>
      <c r="O2050" s="6" t="s">
        <v>110</v>
      </c>
    </row>
    <row r="2051" spans="7:15" x14ac:dyDescent="0.3">
      <c r="G2051" s="7" t="s">
        <v>19</v>
      </c>
      <c r="H2051" s="7" t="s">
        <v>115</v>
      </c>
      <c r="N2051" s="7" t="s">
        <v>19</v>
      </c>
      <c r="O2051" s="7" t="s">
        <v>115</v>
      </c>
    </row>
    <row r="2052" spans="7:15" x14ac:dyDescent="0.3">
      <c r="G2052" s="6" t="s">
        <v>19</v>
      </c>
      <c r="H2052" s="6" t="s">
        <v>967</v>
      </c>
      <c r="N2052" s="6" t="s">
        <v>19</v>
      </c>
      <c r="O2052" s="6" t="s">
        <v>967</v>
      </c>
    </row>
    <row r="2053" spans="7:15" x14ac:dyDescent="0.3">
      <c r="G2053" s="7" t="s">
        <v>19</v>
      </c>
      <c r="H2053" s="7" t="s">
        <v>24</v>
      </c>
      <c r="N2053" s="7" t="s">
        <v>19</v>
      </c>
      <c r="O2053" s="7" t="s">
        <v>24</v>
      </c>
    </row>
    <row r="2054" spans="7:15" x14ac:dyDescent="0.3">
      <c r="G2054" s="6" t="s">
        <v>19</v>
      </c>
      <c r="H2054" s="6" t="s">
        <v>24</v>
      </c>
      <c r="N2054" s="6" t="s">
        <v>19</v>
      </c>
      <c r="O2054" s="6" t="s">
        <v>24</v>
      </c>
    </row>
    <row r="2055" spans="7:15" x14ac:dyDescent="0.3">
      <c r="G2055" s="7" t="s">
        <v>19</v>
      </c>
      <c r="H2055" s="7" t="s">
        <v>24</v>
      </c>
      <c r="N2055" s="7" t="s">
        <v>19</v>
      </c>
      <c r="O2055" s="7" t="s">
        <v>24</v>
      </c>
    </row>
    <row r="2056" spans="7:15" x14ac:dyDescent="0.3">
      <c r="G2056" s="6" t="s">
        <v>19</v>
      </c>
      <c r="H2056" s="6" t="s">
        <v>24</v>
      </c>
      <c r="N2056" s="6" t="s">
        <v>19</v>
      </c>
      <c r="O2056" s="6" t="s">
        <v>24</v>
      </c>
    </row>
    <row r="2057" spans="7:15" x14ac:dyDescent="0.3">
      <c r="G2057" s="7" t="s">
        <v>19</v>
      </c>
      <c r="H2057" s="7" t="s">
        <v>24</v>
      </c>
      <c r="N2057" s="7" t="s">
        <v>19</v>
      </c>
      <c r="O2057" s="7" t="s">
        <v>24</v>
      </c>
    </row>
    <row r="2058" spans="7:15" x14ac:dyDescent="0.3">
      <c r="G2058" s="6" t="s">
        <v>19</v>
      </c>
      <c r="H2058" s="6" t="s">
        <v>331</v>
      </c>
      <c r="N2058" s="6" t="s">
        <v>19</v>
      </c>
      <c r="O2058" s="6" t="s">
        <v>331</v>
      </c>
    </row>
    <row r="2059" spans="7:15" x14ac:dyDescent="0.3">
      <c r="G2059" s="7" t="s">
        <v>19</v>
      </c>
      <c r="H2059" s="7" t="s">
        <v>331</v>
      </c>
      <c r="N2059" s="7" t="s">
        <v>19</v>
      </c>
      <c r="O2059" s="7" t="s">
        <v>331</v>
      </c>
    </row>
    <row r="2060" spans="7:15" x14ac:dyDescent="0.3">
      <c r="G2060" s="6" t="s">
        <v>19</v>
      </c>
      <c r="H2060" s="6" t="s">
        <v>147</v>
      </c>
      <c r="N2060" s="6" t="s">
        <v>19</v>
      </c>
      <c r="O2060" s="6" t="s">
        <v>147</v>
      </c>
    </row>
    <row r="2061" spans="7:15" x14ac:dyDescent="0.3">
      <c r="G2061" s="7" t="s">
        <v>19</v>
      </c>
      <c r="H2061" s="7" t="s">
        <v>33</v>
      </c>
      <c r="N2061" s="7" t="s">
        <v>19</v>
      </c>
      <c r="O2061" s="7" t="s">
        <v>33</v>
      </c>
    </row>
    <row r="2062" spans="7:15" x14ac:dyDescent="0.3">
      <c r="G2062" s="6" t="s">
        <v>19</v>
      </c>
      <c r="H2062" s="6" t="s">
        <v>33</v>
      </c>
      <c r="N2062" s="6" t="s">
        <v>19</v>
      </c>
      <c r="O2062" s="6" t="s">
        <v>33</v>
      </c>
    </row>
    <row r="2063" spans="7:15" x14ac:dyDescent="0.3">
      <c r="G2063" s="7" t="s">
        <v>19</v>
      </c>
      <c r="H2063" s="7" t="s">
        <v>33</v>
      </c>
      <c r="N2063" s="7" t="s">
        <v>19</v>
      </c>
      <c r="O2063" s="7" t="s">
        <v>33</v>
      </c>
    </row>
    <row r="2064" spans="7:15" x14ac:dyDescent="0.3">
      <c r="G2064" s="6" t="s">
        <v>19</v>
      </c>
      <c r="H2064" s="6" t="s">
        <v>33</v>
      </c>
      <c r="N2064" s="6" t="s">
        <v>19</v>
      </c>
      <c r="O2064" s="6" t="s">
        <v>33</v>
      </c>
    </row>
    <row r="2065" spans="7:15" x14ac:dyDescent="0.3">
      <c r="G2065" s="7" t="s">
        <v>19</v>
      </c>
      <c r="H2065" s="7" t="s">
        <v>33</v>
      </c>
      <c r="N2065" s="7" t="s">
        <v>19</v>
      </c>
      <c r="O2065" s="7" t="s">
        <v>33</v>
      </c>
    </row>
    <row r="2066" spans="7:15" x14ac:dyDescent="0.3">
      <c r="G2066" s="6" t="s">
        <v>19</v>
      </c>
      <c r="H2066" s="6" t="s">
        <v>33</v>
      </c>
      <c r="N2066" s="6" t="s">
        <v>19</v>
      </c>
      <c r="O2066" s="6" t="s">
        <v>33</v>
      </c>
    </row>
    <row r="2067" spans="7:15" x14ac:dyDescent="0.3">
      <c r="G2067" s="7" t="s">
        <v>19</v>
      </c>
      <c r="H2067" s="7" t="s">
        <v>33</v>
      </c>
      <c r="N2067" s="7" t="s">
        <v>19</v>
      </c>
      <c r="O2067" s="7" t="s">
        <v>33</v>
      </c>
    </row>
    <row r="2068" spans="7:15" x14ac:dyDescent="0.3">
      <c r="G2068" s="6" t="s">
        <v>19</v>
      </c>
      <c r="H2068" s="6" t="s">
        <v>188</v>
      </c>
      <c r="N2068" s="6" t="s">
        <v>19</v>
      </c>
      <c r="O2068" s="6" t="s">
        <v>188</v>
      </c>
    </row>
    <row r="2069" spans="7:15" x14ac:dyDescent="0.3">
      <c r="G2069" s="7" t="s">
        <v>19</v>
      </c>
      <c r="H2069" s="7" t="s">
        <v>55</v>
      </c>
      <c r="N2069" s="7" t="s">
        <v>19</v>
      </c>
      <c r="O2069" s="7" t="s">
        <v>55</v>
      </c>
    </row>
    <row r="2070" spans="7:15" x14ac:dyDescent="0.3">
      <c r="G2070" s="6" t="s">
        <v>19</v>
      </c>
      <c r="H2070" s="6" t="s">
        <v>55</v>
      </c>
      <c r="N2070" s="6" t="s">
        <v>19</v>
      </c>
      <c r="O2070" s="6" t="s">
        <v>55</v>
      </c>
    </row>
    <row r="2071" spans="7:15" x14ac:dyDescent="0.3">
      <c r="G2071" s="7" t="s">
        <v>19</v>
      </c>
      <c r="H2071" s="7" t="s">
        <v>55</v>
      </c>
      <c r="N2071" s="7" t="s">
        <v>19</v>
      </c>
      <c r="O2071" s="7" t="s">
        <v>55</v>
      </c>
    </row>
    <row r="2072" spans="7:15" x14ac:dyDescent="0.3">
      <c r="G2072" s="6" t="s">
        <v>19</v>
      </c>
      <c r="H2072" s="6" t="s">
        <v>62</v>
      </c>
      <c r="N2072" s="6" t="s">
        <v>19</v>
      </c>
      <c r="O2072" s="6" t="s">
        <v>62</v>
      </c>
    </row>
    <row r="2073" spans="7:15" x14ac:dyDescent="0.3">
      <c r="G2073" s="7" t="s">
        <v>19</v>
      </c>
      <c r="H2073" s="7" t="s">
        <v>62</v>
      </c>
      <c r="N2073" s="7" t="s">
        <v>19</v>
      </c>
      <c r="O2073" s="7" t="s">
        <v>62</v>
      </c>
    </row>
    <row r="2074" spans="7:15" x14ac:dyDescent="0.3">
      <c r="G2074" s="6" t="s">
        <v>19</v>
      </c>
      <c r="H2074" s="6" t="s">
        <v>62</v>
      </c>
      <c r="N2074" s="6" t="s">
        <v>19</v>
      </c>
      <c r="O2074" s="6" t="s">
        <v>62</v>
      </c>
    </row>
    <row r="2075" spans="7:15" x14ac:dyDescent="0.3">
      <c r="G2075" s="7" t="s">
        <v>19</v>
      </c>
      <c r="H2075" s="7" t="s">
        <v>62</v>
      </c>
      <c r="N2075" s="7" t="s">
        <v>19</v>
      </c>
      <c r="O2075" s="7" t="s">
        <v>62</v>
      </c>
    </row>
    <row r="2076" spans="7:15" x14ac:dyDescent="0.3">
      <c r="G2076" s="6" t="s">
        <v>19</v>
      </c>
      <c r="H2076" s="6" t="s">
        <v>62</v>
      </c>
      <c r="N2076" s="6" t="s">
        <v>19</v>
      </c>
      <c r="O2076" s="6" t="s">
        <v>62</v>
      </c>
    </row>
    <row r="2077" spans="7:15" x14ac:dyDescent="0.3">
      <c r="G2077" s="7" t="s">
        <v>19</v>
      </c>
      <c r="H2077" s="7" t="s">
        <v>62</v>
      </c>
      <c r="N2077" s="7" t="s">
        <v>19</v>
      </c>
      <c r="O2077" s="7" t="s">
        <v>62</v>
      </c>
    </row>
    <row r="2078" spans="7:15" x14ac:dyDescent="0.3">
      <c r="G2078" s="6" t="s">
        <v>19</v>
      </c>
      <c r="H2078" s="6" t="s">
        <v>201</v>
      </c>
      <c r="N2078" s="6" t="s">
        <v>19</v>
      </c>
      <c r="O2078" s="6" t="s">
        <v>201</v>
      </c>
    </row>
    <row r="2079" spans="7:15" x14ac:dyDescent="0.3">
      <c r="G2079" s="7" t="s">
        <v>19</v>
      </c>
      <c r="H2079" s="7" t="s">
        <v>72</v>
      </c>
      <c r="N2079" s="7" t="s">
        <v>19</v>
      </c>
      <c r="O2079" s="7" t="s">
        <v>72</v>
      </c>
    </row>
    <row r="2080" spans="7:15" x14ac:dyDescent="0.3">
      <c r="G2080" s="6" t="s">
        <v>19</v>
      </c>
      <c r="H2080" s="6" t="s">
        <v>77</v>
      </c>
      <c r="N2080" s="6" t="s">
        <v>19</v>
      </c>
      <c r="O2080" s="6" t="s">
        <v>77</v>
      </c>
    </row>
    <row r="2081" spans="7:15" x14ac:dyDescent="0.3">
      <c r="G2081" s="7" t="s">
        <v>19</v>
      </c>
      <c r="H2081" s="7" t="s">
        <v>108</v>
      </c>
      <c r="N2081" s="7" t="s">
        <v>19</v>
      </c>
      <c r="O2081" s="7" t="s">
        <v>108</v>
      </c>
    </row>
    <row r="2082" spans="7:15" x14ac:dyDescent="0.3">
      <c r="G2082" s="6" t="s">
        <v>19</v>
      </c>
      <c r="H2082" s="6" t="s">
        <v>110</v>
      </c>
      <c r="N2082" s="6" t="s">
        <v>19</v>
      </c>
      <c r="O2082" s="6" t="s">
        <v>110</v>
      </c>
    </row>
    <row r="2083" spans="7:15" x14ac:dyDescent="0.3">
      <c r="G2083" s="7" t="s">
        <v>19</v>
      </c>
      <c r="H2083" s="7" t="s">
        <v>115</v>
      </c>
      <c r="N2083" s="7" t="s">
        <v>19</v>
      </c>
      <c r="O2083" s="7" t="s">
        <v>115</v>
      </c>
    </row>
    <row r="2084" spans="7:15" x14ac:dyDescent="0.3">
      <c r="G2084" s="6" t="s">
        <v>19</v>
      </c>
      <c r="H2084" s="6" t="s">
        <v>115</v>
      </c>
      <c r="N2084" s="6" t="s">
        <v>19</v>
      </c>
      <c r="O2084" s="6" t="s">
        <v>115</v>
      </c>
    </row>
    <row r="2085" spans="7:15" x14ac:dyDescent="0.3">
      <c r="G2085" s="7" t="s">
        <v>19</v>
      </c>
      <c r="H2085" s="7" t="s">
        <v>115</v>
      </c>
      <c r="N2085" s="7" t="s">
        <v>19</v>
      </c>
      <c r="O2085" s="7" t="s">
        <v>115</v>
      </c>
    </row>
    <row r="2086" spans="7:15" x14ac:dyDescent="0.3">
      <c r="G2086" s="6" t="s">
        <v>19</v>
      </c>
      <c r="H2086" s="6" t="s">
        <v>24</v>
      </c>
      <c r="N2086" s="6" t="s">
        <v>19</v>
      </c>
      <c r="O2086" s="6" t="s">
        <v>24</v>
      </c>
    </row>
    <row r="2087" spans="7:15" x14ac:dyDescent="0.3">
      <c r="G2087" s="7" t="s">
        <v>19</v>
      </c>
      <c r="H2087" s="7" t="s">
        <v>24</v>
      </c>
      <c r="N2087" s="7" t="s">
        <v>19</v>
      </c>
      <c r="O2087" s="7" t="s">
        <v>24</v>
      </c>
    </row>
    <row r="2088" spans="7:15" x14ac:dyDescent="0.3">
      <c r="G2088" s="6" t="s">
        <v>19</v>
      </c>
      <c r="H2088" s="6" t="s">
        <v>28</v>
      </c>
      <c r="N2088" s="6" t="s">
        <v>19</v>
      </c>
      <c r="O2088" s="6" t="s">
        <v>28</v>
      </c>
    </row>
    <row r="2089" spans="7:15" x14ac:dyDescent="0.3">
      <c r="G2089" s="7" t="s">
        <v>19</v>
      </c>
      <c r="H2089" s="7" t="s">
        <v>147</v>
      </c>
      <c r="N2089" s="7" t="s">
        <v>19</v>
      </c>
      <c r="O2089" s="7" t="s">
        <v>147</v>
      </c>
    </row>
    <row r="2090" spans="7:15" x14ac:dyDescent="0.3">
      <c r="G2090" s="6" t="s">
        <v>19</v>
      </c>
      <c r="H2090" s="6" t="s">
        <v>334</v>
      </c>
      <c r="N2090" s="6" t="s">
        <v>19</v>
      </c>
      <c r="O2090" s="6" t="s">
        <v>334</v>
      </c>
    </row>
    <row r="2091" spans="7:15" x14ac:dyDescent="0.3">
      <c r="G2091" s="7" t="s">
        <v>19</v>
      </c>
      <c r="H2091" s="7" t="s">
        <v>334</v>
      </c>
      <c r="N2091" s="7" t="s">
        <v>19</v>
      </c>
      <c r="O2091" s="7" t="s">
        <v>334</v>
      </c>
    </row>
    <row r="2092" spans="7:15" x14ac:dyDescent="0.3">
      <c r="G2092" s="6" t="s">
        <v>19</v>
      </c>
      <c r="H2092" s="6" t="s">
        <v>33</v>
      </c>
      <c r="N2092" s="6" t="s">
        <v>19</v>
      </c>
      <c r="O2092" s="6" t="s">
        <v>33</v>
      </c>
    </row>
    <row r="2093" spans="7:15" x14ac:dyDescent="0.3">
      <c r="G2093" s="7" t="s">
        <v>19</v>
      </c>
      <c r="H2093" s="7" t="s">
        <v>33</v>
      </c>
      <c r="N2093" s="7" t="s">
        <v>19</v>
      </c>
      <c r="O2093" s="7" t="s">
        <v>33</v>
      </c>
    </row>
    <row r="2094" spans="7:15" x14ac:dyDescent="0.3">
      <c r="G2094" s="6" t="s">
        <v>19</v>
      </c>
      <c r="H2094" s="6" t="s">
        <v>33</v>
      </c>
      <c r="N2094" s="6" t="s">
        <v>19</v>
      </c>
      <c r="O2094" s="6" t="s">
        <v>33</v>
      </c>
    </row>
    <row r="2095" spans="7:15" x14ac:dyDescent="0.3">
      <c r="G2095" s="7" t="s">
        <v>19</v>
      </c>
      <c r="H2095" s="7" t="s">
        <v>33</v>
      </c>
      <c r="N2095" s="7" t="s">
        <v>19</v>
      </c>
      <c r="O2095" s="7" t="s">
        <v>33</v>
      </c>
    </row>
    <row r="2096" spans="7:15" x14ac:dyDescent="0.3">
      <c r="G2096" s="6" t="s">
        <v>19</v>
      </c>
      <c r="H2096" s="6" t="s">
        <v>33</v>
      </c>
      <c r="N2096" s="6" t="s">
        <v>19</v>
      </c>
      <c r="O2096" s="6" t="s">
        <v>33</v>
      </c>
    </row>
    <row r="2097" spans="7:15" x14ac:dyDescent="0.3">
      <c r="G2097" s="7" t="s">
        <v>19</v>
      </c>
      <c r="H2097" s="7" t="s">
        <v>33</v>
      </c>
      <c r="N2097" s="7" t="s">
        <v>19</v>
      </c>
      <c r="O2097" s="7" t="s">
        <v>33</v>
      </c>
    </row>
    <row r="2098" spans="7:15" x14ac:dyDescent="0.3">
      <c r="G2098" s="6" t="s">
        <v>19</v>
      </c>
      <c r="H2098" s="6" t="s">
        <v>33</v>
      </c>
      <c r="N2098" s="6" t="s">
        <v>19</v>
      </c>
      <c r="O2098" s="6" t="s">
        <v>33</v>
      </c>
    </row>
    <row r="2099" spans="7:15" x14ac:dyDescent="0.3">
      <c r="G2099" s="7" t="s">
        <v>19</v>
      </c>
      <c r="H2099" s="7" t="s">
        <v>33</v>
      </c>
      <c r="N2099" s="7" t="s">
        <v>19</v>
      </c>
      <c r="O2099" s="7" t="s">
        <v>33</v>
      </c>
    </row>
    <row r="2100" spans="7:15" x14ac:dyDescent="0.3">
      <c r="G2100" s="6" t="s">
        <v>19</v>
      </c>
      <c r="H2100" s="6" t="s">
        <v>33</v>
      </c>
      <c r="N2100" s="6" t="s">
        <v>19</v>
      </c>
      <c r="O2100" s="6" t="s">
        <v>33</v>
      </c>
    </row>
    <row r="2101" spans="7:15" x14ac:dyDescent="0.3">
      <c r="G2101" s="7" t="s">
        <v>19</v>
      </c>
      <c r="H2101" s="7" t="s">
        <v>33</v>
      </c>
      <c r="N2101" s="7" t="s">
        <v>19</v>
      </c>
      <c r="O2101" s="7" t="s">
        <v>33</v>
      </c>
    </row>
    <row r="2102" spans="7:15" x14ac:dyDescent="0.3">
      <c r="G2102" s="6" t="s">
        <v>19</v>
      </c>
      <c r="H2102" s="6" t="s">
        <v>158</v>
      </c>
      <c r="N2102" s="6" t="s">
        <v>19</v>
      </c>
      <c r="O2102" s="6" t="s">
        <v>158</v>
      </c>
    </row>
    <row r="2103" spans="7:15" x14ac:dyDescent="0.3">
      <c r="G2103" s="7" t="s">
        <v>19</v>
      </c>
      <c r="H2103" s="7" t="s">
        <v>62</v>
      </c>
      <c r="N2103" s="7" t="s">
        <v>19</v>
      </c>
      <c r="O2103" s="7" t="s">
        <v>62</v>
      </c>
    </row>
    <row r="2104" spans="7:15" x14ac:dyDescent="0.3">
      <c r="G2104" s="6" t="s">
        <v>19</v>
      </c>
      <c r="H2104" s="6" t="s">
        <v>62</v>
      </c>
      <c r="N2104" s="6" t="s">
        <v>19</v>
      </c>
      <c r="O2104" s="6" t="s">
        <v>62</v>
      </c>
    </row>
    <row r="2105" spans="7:15" x14ac:dyDescent="0.3">
      <c r="G2105" s="7" t="s">
        <v>19</v>
      </c>
      <c r="H2105" s="7" t="s">
        <v>62</v>
      </c>
      <c r="N2105" s="7" t="s">
        <v>19</v>
      </c>
      <c r="O2105" s="7" t="s">
        <v>62</v>
      </c>
    </row>
    <row r="2106" spans="7:15" x14ac:dyDescent="0.3">
      <c r="G2106" s="6" t="s">
        <v>19</v>
      </c>
      <c r="H2106" s="6" t="s">
        <v>62</v>
      </c>
      <c r="N2106" s="6" t="s">
        <v>19</v>
      </c>
      <c r="O2106" s="6" t="s">
        <v>62</v>
      </c>
    </row>
    <row r="2107" spans="7:15" x14ac:dyDescent="0.3">
      <c r="G2107" s="7" t="s">
        <v>19</v>
      </c>
      <c r="H2107" s="7" t="s">
        <v>103</v>
      </c>
      <c r="N2107" s="7" t="s">
        <v>19</v>
      </c>
      <c r="O2107" s="7" t="s">
        <v>103</v>
      </c>
    </row>
    <row r="2108" spans="7:15" x14ac:dyDescent="0.3">
      <c r="G2108" s="6" t="s">
        <v>19</v>
      </c>
      <c r="H2108" s="6" t="s">
        <v>72</v>
      </c>
      <c r="N2108" s="6" t="s">
        <v>19</v>
      </c>
      <c r="O2108" s="6" t="s">
        <v>72</v>
      </c>
    </row>
    <row r="2109" spans="7:15" x14ac:dyDescent="0.3">
      <c r="G2109" s="7" t="s">
        <v>19</v>
      </c>
      <c r="H2109" s="7" t="s">
        <v>77</v>
      </c>
      <c r="N2109" s="7" t="s">
        <v>19</v>
      </c>
      <c r="O2109" s="7" t="s">
        <v>77</v>
      </c>
    </row>
    <row r="2110" spans="7:15" x14ac:dyDescent="0.3">
      <c r="G2110" s="6" t="s">
        <v>19</v>
      </c>
      <c r="H2110" s="6" t="s">
        <v>77</v>
      </c>
      <c r="N2110" s="6" t="s">
        <v>19</v>
      </c>
      <c r="O2110" s="6" t="s">
        <v>77</v>
      </c>
    </row>
    <row r="2111" spans="7:15" x14ac:dyDescent="0.3">
      <c r="G2111" s="7" t="s">
        <v>19</v>
      </c>
      <c r="H2111" s="7" t="s">
        <v>77</v>
      </c>
      <c r="N2111" s="7" t="s">
        <v>19</v>
      </c>
      <c r="O2111" s="7" t="s">
        <v>77</v>
      </c>
    </row>
    <row r="2112" spans="7:15" x14ac:dyDescent="0.3">
      <c r="G2112" s="6" t="s">
        <v>19</v>
      </c>
      <c r="H2112" s="6" t="s">
        <v>110</v>
      </c>
      <c r="N2112" s="6" t="s">
        <v>19</v>
      </c>
      <c r="O2112" s="6" t="s">
        <v>110</v>
      </c>
    </row>
    <row r="2113" spans="7:15" x14ac:dyDescent="0.3">
      <c r="G2113" s="7" t="s">
        <v>19</v>
      </c>
      <c r="H2113" s="7" t="s">
        <v>110</v>
      </c>
      <c r="N2113" s="7" t="s">
        <v>19</v>
      </c>
      <c r="O2113" s="7" t="s">
        <v>110</v>
      </c>
    </row>
    <row r="2114" spans="7:15" x14ac:dyDescent="0.3">
      <c r="G2114" s="6" t="s">
        <v>19</v>
      </c>
      <c r="H2114" s="6" t="s">
        <v>110</v>
      </c>
      <c r="N2114" s="6" t="s">
        <v>19</v>
      </c>
      <c r="O2114" s="6" t="s">
        <v>110</v>
      </c>
    </row>
    <row r="2115" spans="7:15" x14ac:dyDescent="0.3">
      <c r="G2115" s="7" t="s">
        <v>19</v>
      </c>
      <c r="H2115" s="7" t="s">
        <v>115</v>
      </c>
      <c r="N2115" s="7" t="s">
        <v>19</v>
      </c>
      <c r="O2115" s="7" t="s">
        <v>115</v>
      </c>
    </row>
    <row r="2116" spans="7:15" x14ac:dyDescent="0.3">
      <c r="G2116" s="6" t="s">
        <v>19</v>
      </c>
      <c r="H2116" s="6" t="s">
        <v>115</v>
      </c>
      <c r="N2116" s="6" t="s">
        <v>19</v>
      </c>
      <c r="O2116" s="6" t="s">
        <v>115</v>
      </c>
    </row>
    <row r="2117" spans="7:15" x14ac:dyDescent="0.3">
      <c r="G2117" s="7" t="s">
        <v>19</v>
      </c>
      <c r="H2117" s="7" t="s">
        <v>115</v>
      </c>
      <c r="N2117" s="7" t="s">
        <v>19</v>
      </c>
      <c r="O2117" s="7" t="s">
        <v>115</v>
      </c>
    </row>
    <row r="2118" spans="7:15" x14ac:dyDescent="0.3">
      <c r="G2118" s="6" t="s">
        <v>19</v>
      </c>
      <c r="H2118" s="6" t="s">
        <v>115</v>
      </c>
      <c r="N2118" s="6" t="s">
        <v>19</v>
      </c>
      <c r="O2118" s="6" t="s">
        <v>115</v>
      </c>
    </row>
    <row r="2119" spans="7:15" x14ac:dyDescent="0.3">
      <c r="G2119" s="7" t="s">
        <v>19</v>
      </c>
      <c r="H2119" s="7" t="s">
        <v>115</v>
      </c>
      <c r="N2119" s="7" t="s">
        <v>19</v>
      </c>
      <c r="O2119" s="7" t="s">
        <v>115</v>
      </c>
    </row>
    <row r="2120" spans="7:15" x14ac:dyDescent="0.3">
      <c r="G2120" s="6" t="s">
        <v>19</v>
      </c>
      <c r="H2120" s="6" t="s">
        <v>24</v>
      </c>
      <c r="N2120" s="6" t="s">
        <v>19</v>
      </c>
      <c r="O2120" s="6" t="s">
        <v>24</v>
      </c>
    </row>
    <row r="2121" spans="7:15" x14ac:dyDescent="0.3">
      <c r="G2121" s="7" t="s">
        <v>19</v>
      </c>
      <c r="H2121" s="7" t="s">
        <v>437</v>
      </c>
      <c r="N2121" s="7" t="s">
        <v>19</v>
      </c>
      <c r="O2121" s="7" t="s">
        <v>437</v>
      </c>
    </row>
    <row r="2122" spans="7:15" x14ac:dyDescent="0.3">
      <c r="G2122" s="6" t="s">
        <v>19</v>
      </c>
      <c r="H2122" s="6" t="s">
        <v>28</v>
      </c>
      <c r="N2122" s="6" t="s">
        <v>19</v>
      </c>
      <c r="O2122" s="6" t="s">
        <v>28</v>
      </c>
    </row>
    <row r="2123" spans="7:15" x14ac:dyDescent="0.3">
      <c r="G2123" s="7" t="s">
        <v>19</v>
      </c>
      <c r="H2123" s="7" t="s">
        <v>28</v>
      </c>
      <c r="N2123" s="7" t="s">
        <v>19</v>
      </c>
      <c r="O2123" s="7" t="s">
        <v>28</v>
      </c>
    </row>
    <row r="2124" spans="7:15" x14ac:dyDescent="0.3">
      <c r="G2124" s="6" t="s">
        <v>19</v>
      </c>
      <c r="H2124" s="6" t="s">
        <v>147</v>
      </c>
      <c r="N2124" s="6" t="s">
        <v>19</v>
      </c>
      <c r="O2124" s="6" t="s">
        <v>147</v>
      </c>
    </row>
    <row r="2125" spans="7:15" x14ac:dyDescent="0.3">
      <c r="G2125" s="7" t="s">
        <v>19</v>
      </c>
      <c r="H2125" s="7" t="s">
        <v>33</v>
      </c>
      <c r="N2125" s="7" t="s">
        <v>19</v>
      </c>
      <c r="O2125" s="7" t="s">
        <v>33</v>
      </c>
    </row>
    <row r="2126" spans="7:15" x14ac:dyDescent="0.3">
      <c r="G2126" s="6" t="s">
        <v>19</v>
      </c>
      <c r="H2126" s="6" t="s">
        <v>33</v>
      </c>
      <c r="N2126" s="6" t="s">
        <v>19</v>
      </c>
      <c r="O2126" s="6" t="s">
        <v>33</v>
      </c>
    </row>
    <row r="2127" spans="7:15" x14ac:dyDescent="0.3">
      <c r="G2127" s="7" t="s">
        <v>19</v>
      </c>
      <c r="H2127" s="7" t="s">
        <v>33</v>
      </c>
      <c r="N2127" s="7" t="s">
        <v>19</v>
      </c>
      <c r="O2127" s="7" t="s">
        <v>33</v>
      </c>
    </row>
    <row r="2128" spans="7:15" x14ac:dyDescent="0.3">
      <c r="G2128" s="6" t="s">
        <v>19</v>
      </c>
      <c r="H2128" s="6" t="s">
        <v>33</v>
      </c>
      <c r="N2128" s="6" t="s">
        <v>19</v>
      </c>
      <c r="O2128" s="6" t="s">
        <v>33</v>
      </c>
    </row>
    <row r="2129" spans="7:15" x14ac:dyDescent="0.3">
      <c r="G2129" s="7" t="s">
        <v>19</v>
      </c>
      <c r="H2129" s="7" t="s">
        <v>33</v>
      </c>
      <c r="N2129" s="7" t="s">
        <v>19</v>
      </c>
      <c r="O2129" s="7" t="s">
        <v>33</v>
      </c>
    </row>
    <row r="2130" spans="7:15" x14ac:dyDescent="0.3">
      <c r="G2130" s="6" t="s">
        <v>19</v>
      </c>
      <c r="H2130" s="6" t="s">
        <v>33</v>
      </c>
      <c r="N2130" s="6" t="s">
        <v>19</v>
      </c>
      <c r="O2130" s="6" t="s">
        <v>33</v>
      </c>
    </row>
    <row r="2131" spans="7:15" x14ac:dyDescent="0.3">
      <c r="G2131" s="7" t="s">
        <v>19</v>
      </c>
      <c r="H2131" s="7" t="s">
        <v>33</v>
      </c>
      <c r="N2131" s="7" t="s">
        <v>19</v>
      </c>
      <c r="O2131" s="7" t="s">
        <v>33</v>
      </c>
    </row>
    <row r="2132" spans="7:15" x14ac:dyDescent="0.3">
      <c r="G2132" s="6" t="s">
        <v>19</v>
      </c>
      <c r="H2132" s="6" t="s">
        <v>33</v>
      </c>
      <c r="N2132" s="6" t="s">
        <v>19</v>
      </c>
      <c r="O2132" s="6" t="s">
        <v>33</v>
      </c>
    </row>
    <row r="2133" spans="7:15" x14ac:dyDescent="0.3">
      <c r="G2133" s="7" t="s">
        <v>19</v>
      </c>
      <c r="H2133" s="7" t="s">
        <v>49</v>
      </c>
      <c r="N2133" s="7" t="s">
        <v>19</v>
      </c>
      <c r="O2133" s="7" t="s">
        <v>49</v>
      </c>
    </row>
    <row r="2134" spans="7:15" x14ac:dyDescent="0.3">
      <c r="G2134" s="6" t="s">
        <v>19</v>
      </c>
      <c r="H2134" s="6" t="s">
        <v>188</v>
      </c>
      <c r="N2134" s="6" t="s">
        <v>19</v>
      </c>
      <c r="O2134" s="6" t="s">
        <v>188</v>
      </c>
    </row>
    <row r="2135" spans="7:15" x14ac:dyDescent="0.3">
      <c r="G2135" s="7" t="s">
        <v>19</v>
      </c>
      <c r="H2135" s="7" t="s">
        <v>59</v>
      </c>
      <c r="N2135" s="7" t="s">
        <v>19</v>
      </c>
      <c r="O2135" s="7" t="s">
        <v>59</v>
      </c>
    </row>
    <row r="2136" spans="7:15" x14ac:dyDescent="0.3">
      <c r="G2136" s="6" t="s">
        <v>19</v>
      </c>
      <c r="H2136" s="6" t="s">
        <v>62</v>
      </c>
      <c r="N2136" s="6" t="s">
        <v>19</v>
      </c>
      <c r="O2136" s="6" t="s">
        <v>62</v>
      </c>
    </row>
    <row r="2137" spans="7:15" x14ac:dyDescent="0.3">
      <c r="G2137" s="7" t="s">
        <v>19</v>
      </c>
      <c r="H2137" s="7" t="s">
        <v>62</v>
      </c>
      <c r="N2137" s="7" t="s">
        <v>19</v>
      </c>
      <c r="O2137" s="7" t="s">
        <v>62</v>
      </c>
    </row>
    <row r="2138" spans="7:15" x14ac:dyDescent="0.3">
      <c r="G2138" s="6" t="s">
        <v>19</v>
      </c>
      <c r="H2138" s="6" t="s">
        <v>62</v>
      </c>
      <c r="N2138" s="6" t="s">
        <v>19</v>
      </c>
      <c r="O2138" s="6" t="s">
        <v>62</v>
      </c>
    </row>
    <row r="2139" spans="7:15" x14ac:dyDescent="0.3">
      <c r="G2139" s="7" t="s">
        <v>19</v>
      </c>
      <c r="H2139" s="7" t="s">
        <v>62</v>
      </c>
      <c r="N2139" s="7" t="s">
        <v>19</v>
      </c>
      <c r="O2139" s="7" t="s">
        <v>62</v>
      </c>
    </row>
    <row r="2140" spans="7:15" x14ac:dyDescent="0.3">
      <c r="G2140" s="6" t="s">
        <v>19</v>
      </c>
      <c r="H2140" s="6" t="s">
        <v>62</v>
      </c>
      <c r="N2140" s="6" t="s">
        <v>19</v>
      </c>
      <c r="O2140" s="6" t="s">
        <v>62</v>
      </c>
    </row>
    <row r="2141" spans="7:15" x14ac:dyDescent="0.3">
      <c r="G2141" s="7" t="s">
        <v>19</v>
      </c>
      <c r="H2141" s="7" t="s">
        <v>103</v>
      </c>
      <c r="N2141" s="7" t="s">
        <v>19</v>
      </c>
      <c r="O2141" s="7" t="s">
        <v>103</v>
      </c>
    </row>
    <row r="2142" spans="7:15" x14ac:dyDescent="0.3">
      <c r="G2142" s="6" t="s">
        <v>19</v>
      </c>
      <c r="H2142" s="6" t="s">
        <v>77</v>
      </c>
      <c r="N2142" s="6" t="s">
        <v>19</v>
      </c>
      <c r="O2142" s="6" t="s">
        <v>77</v>
      </c>
    </row>
    <row r="2143" spans="7:15" x14ac:dyDescent="0.3">
      <c r="G2143" s="7" t="s">
        <v>19</v>
      </c>
      <c r="H2143" s="7" t="s">
        <v>77</v>
      </c>
      <c r="N2143" s="7" t="s">
        <v>19</v>
      </c>
      <c r="O2143" s="7" t="s">
        <v>77</v>
      </c>
    </row>
    <row r="2144" spans="7:15" x14ac:dyDescent="0.3">
      <c r="G2144" s="6" t="s">
        <v>19</v>
      </c>
      <c r="H2144" s="6" t="s">
        <v>77</v>
      </c>
      <c r="N2144" s="6" t="s">
        <v>19</v>
      </c>
      <c r="O2144" s="6" t="s">
        <v>77</v>
      </c>
    </row>
    <row r="2145" spans="7:15" x14ac:dyDescent="0.3">
      <c r="G2145" s="7" t="s">
        <v>19</v>
      </c>
      <c r="H2145" s="7" t="s">
        <v>77</v>
      </c>
      <c r="N2145" s="7" t="s">
        <v>19</v>
      </c>
      <c r="O2145" s="7" t="s">
        <v>77</v>
      </c>
    </row>
    <row r="2146" spans="7:15" x14ac:dyDescent="0.3">
      <c r="G2146" s="6" t="s">
        <v>19</v>
      </c>
      <c r="H2146" s="6" t="s">
        <v>77</v>
      </c>
      <c r="N2146" s="6" t="s">
        <v>19</v>
      </c>
      <c r="O2146" s="6" t="s">
        <v>77</v>
      </c>
    </row>
    <row r="2147" spans="7:15" x14ac:dyDescent="0.3">
      <c r="G2147" s="7" t="s">
        <v>19</v>
      </c>
      <c r="H2147" s="7" t="s">
        <v>82</v>
      </c>
      <c r="N2147" s="7" t="s">
        <v>19</v>
      </c>
      <c r="O2147" s="7" t="s">
        <v>82</v>
      </c>
    </row>
    <row r="2148" spans="7:15" x14ac:dyDescent="0.3">
      <c r="G2148" s="6" t="s">
        <v>19</v>
      </c>
      <c r="H2148" s="6" t="s">
        <v>24</v>
      </c>
      <c r="N2148" s="6" t="s">
        <v>19</v>
      </c>
      <c r="O2148" s="6" t="s">
        <v>24</v>
      </c>
    </row>
    <row r="2149" spans="7:15" x14ac:dyDescent="0.3">
      <c r="G2149" s="7" t="s">
        <v>19</v>
      </c>
      <c r="H2149" s="7" t="s">
        <v>147</v>
      </c>
      <c r="N2149" s="7" t="s">
        <v>19</v>
      </c>
      <c r="O2149" s="7" t="s">
        <v>147</v>
      </c>
    </row>
    <row r="2150" spans="7:15" x14ac:dyDescent="0.3">
      <c r="G2150" s="6" t="s">
        <v>19</v>
      </c>
      <c r="H2150" s="6" t="s">
        <v>33</v>
      </c>
      <c r="N2150" s="6" t="s">
        <v>19</v>
      </c>
      <c r="O2150" s="6" t="s">
        <v>33</v>
      </c>
    </row>
    <row r="2151" spans="7:15" x14ac:dyDescent="0.3">
      <c r="G2151" s="7" t="s">
        <v>19</v>
      </c>
      <c r="H2151" s="7" t="s">
        <v>33</v>
      </c>
      <c r="N2151" s="7" t="s">
        <v>19</v>
      </c>
      <c r="O2151" s="7" t="s">
        <v>33</v>
      </c>
    </row>
    <row r="2152" spans="7:15" x14ac:dyDescent="0.3">
      <c r="G2152" s="6" t="s">
        <v>19</v>
      </c>
      <c r="H2152" s="6" t="s">
        <v>33</v>
      </c>
      <c r="N2152" s="6" t="s">
        <v>19</v>
      </c>
      <c r="O2152" s="6" t="s">
        <v>33</v>
      </c>
    </row>
    <row r="2153" spans="7:15" x14ac:dyDescent="0.3">
      <c r="G2153" s="7" t="s">
        <v>19</v>
      </c>
      <c r="H2153" s="7" t="s">
        <v>33</v>
      </c>
      <c r="N2153" s="7" t="s">
        <v>19</v>
      </c>
      <c r="O2153" s="7" t="s">
        <v>33</v>
      </c>
    </row>
    <row r="2154" spans="7:15" x14ac:dyDescent="0.3">
      <c r="G2154" s="6" t="s">
        <v>19</v>
      </c>
      <c r="H2154" s="6" t="s">
        <v>33</v>
      </c>
      <c r="N2154" s="6" t="s">
        <v>19</v>
      </c>
      <c r="O2154" s="6" t="s">
        <v>33</v>
      </c>
    </row>
    <row r="2155" spans="7:15" x14ac:dyDescent="0.3">
      <c r="G2155" s="7" t="s">
        <v>19</v>
      </c>
      <c r="H2155" s="7" t="s">
        <v>33</v>
      </c>
      <c r="N2155" s="7" t="s">
        <v>19</v>
      </c>
      <c r="O2155" s="7" t="s">
        <v>33</v>
      </c>
    </row>
    <row r="2156" spans="7:15" x14ac:dyDescent="0.3">
      <c r="G2156" s="6" t="s">
        <v>19</v>
      </c>
      <c r="H2156" s="6" t="s">
        <v>33</v>
      </c>
      <c r="N2156" s="6" t="s">
        <v>19</v>
      </c>
      <c r="O2156" s="6" t="s">
        <v>33</v>
      </c>
    </row>
    <row r="2157" spans="7:15" x14ac:dyDescent="0.3">
      <c r="G2157" s="7" t="s">
        <v>19</v>
      </c>
      <c r="H2157" s="7" t="s">
        <v>33</v>
      </c>
      <c r="N2157" s="7" t="s">
        <v>19</v>
      </c>
      <c r="O2157" s="7" t="s">
        <v>33</v>
      </c>
    </row>
    <row r="2158" spans="7:15" x14ac:dyDescent="0.3">
      <c r="G2158" s="6" t="s">
        <v>19</v>
      </c>
      <c r="H2158" s="6" t="s">
        <v>33</v>
      </c>
      <c r="N2158" s="6" t="s">
        <v>19</v>
      </c>
      <c r="O2158" s="6" t="s">
        <v>33</v>
      </c>
    </row>
    <row r="2159" spans="7:15" x14ac:dyDescent="0.3">
      <c r="G2159" s="7" t="s">
        <v>19</v>
      </c>
      <c r="H2159" s="7" t="s">
        <v>33</v>
      </c>
      <c r="N2159" s="7" t="s">
        <v>19</v>
      </c>
      <c r="O2159" s="7" t="s">
        <v>33</v>
      </c>
    </row>
    <row r="2160" spans="7:15" x14ac:dyDescent="0.3">
      <c r="G2160" s="6" t="s">
        <v>19</v>
      </c>
      <c r="H2160" s="6" t="s">
        <v>33</v>
      </c>
      <c r="N2160" s="6" t="s">
        <v>19</v>
      </c>
      <c r="O2160" s="6" t="s">
        <v>33</v>
      </c>
    </row>
    <row r="2161" spans="7:15" x14ac:dyDescent="0.3">
      <c r="G2161" s="7" t="s">
        <v>19</v>
      </c>
      <c r="H2161" s="7" t="s">
        <v>33</v>
      </c>
      <c r="N2161" s="7" t="s">
        <v>19</v>
      </c>
      <c r="O2161" s="7" t="s">
        <v>33</v>
      </c>
    </row>
    <row r="2162" spans="7:15" x14ac:dyDescent="0.3">
      <c r="G2162" s="6" t="s">
        <v>19</v>
      </c>
      <c r="H2162" s="6" t="s">
        <v>33</v>
      </c>
      <c r="N2162" s="6" t="s">
        <v>19</v>
      </c>
      <c r="O2162" s="6" t="s">
        <v>33</v>
      </c>
    </row>
    <row r="2163" spans="7:15" x14ac:dyDescent="0.3">
      <c r="G2163" s="7" t="s">
        <v>19</v>
      </c>
      <c r="H2163" s="7" t="s">
        <v>33</v>
      </c>
      <c r="N2163" s="7" t="s">
        <v>19</v>
      </c>
      <c r="O2163" s="7" t="s">
        <v>33</v>
      </c>
    </row>
    <row r="2164" spans="7:15" x14ac:dyDescent="0.3">
      <c r="G2164" s="6" t="s">
        <v>19</v>
      </c>
      <c r="H2164" s="6" t="s">
        <v>33</v>
      </c>
      <c r="N2164" s="6" t="s">
        <v>19</v>
      </c>
      <c r="O2164" s="6" t="s">
        <v>33</v>
      </c>
    </row>
    <row r="2165" spans="7:15" x14ac:dyDescent="0.3">
      <c r="G2165" s="7" t="s">
        <v>19</v>
      </c>
      <c r="H2165" s="7" t="s">
        <v>52</v>
      </c>
      <c r="N2165" s="7" t="s">
        <v>19</v>
      </c>
      <c r="O2165" s="7" t="s">
        <v>52</v>
      </c>
    </row>
    <row r="2166" spans="7:15" x14ac:dyDescent="0.3">
      <c r="G2166" s="6" t="s">
        <v>19</v>
      </c>
      <c r="H2166" s="6" t="s">
        <v>55</v>
      </c>
      <c r="N2166" s="6" t="s">
        <v>19</v>
      </c>
      <c r="O2166" s="6" t="s">
        <v>55</v>
      </c>
    </row>
    <row r="2167" spans="7:15" x14ac:dyDescent="0.3">
      <c r="G2167" s="7" t="s">
        <v>19</v>
      </c>
      <c r="H2167" s="7" t="s">
        <v>59</v>
      </c>
      <c r="N2167" s="7" t="s">
        <v>19</v>
      </c>
      <c r="O2167" s="7" t="s">
        <v>59</v>
      </c>
    </row>
    <row r="2168" spans="7:15" x14ac:dyDescent="0.3">
      <c r="G2168" s="6" t="s">
        <v>19</v>
      </c>
      <c r="H2168" s="6" t="s">
        <v>59</v>
      </c>
      <c r="N2168" s="6" t="s">
        <v>19</v>
      </c>
      <c r="O2168" s="6" t="s">
        <v>59</v>
      </c>
    </row>
    <row r="2169" spans="7:15" x14ac:dyDescent="0.3">
      <c r="G2169" s="7" t="s">
        <v>19</v>
      </c>
      <c r="H2169" s="7" t="s">
        <v>59</v>
      </c>
      <c r="N2169" s="7" t="s">
        <v>19</v>
      </c>
      <c r="O2169" s="7" t="s">
        <v>59</v>
      </c>
    </row>
    <row r="2170" spans="7:15" x14ac:dyDescent="0.3">
      <c r="G2170" s="6" t="s">
        <v>19</v>
      </c>
      <c r="H2170" s="6" t="s">
        <v>59</v>
      </c>
      <c r="N2170" s="6" t="s">
        <v>19</v>
      </c>
      <c r="O2170" s="6" t="s">
        <v>59</v>
      </c>
    </row>
    <row r="2171" spans="7:15" x14ac:dyDescent="0.3">
      <c r="G2171" s="7" t="s">
        <v>19</v>
      </c>
      <c r="H2171" s="7" t="s">
        <v>62</v>
      </c>
      <c r="N2171" s="7" t="s">
        <v>19</v>
      </c>
      <c r="O2171" s="7" t="s">
        <v>62</v>
      </c>
    </row>
    <row r="2172" spans="7:15" x14ac:dyDescent="0.3">
      <c r="G2172" s="6" t="s">
        <v>19</v>
      </c>
      <c r="H2172" s="6" t="s">
        <v>62</v>
      </c>
      <c r="N2172" s="6" t="s">
        <v>19</v>
      </c>
      <c r="O2172" s="6" t="s">
        <v>62</v>
      </c>
    </row>
    <row r="2173" spans="7:15" x14ac:dyDescent="0.3">
      <c r="G2173" s="7" t="s">
        <v>19</v>
      </c>
      <c r="H2173" s="7" t="s">
        <v>62</v>
      </c>
      <c r="N2173" s="7" t="s">
        <v>19</v>
      </c>
      <c r="O2173" s="7" t="s">
        <v>62</v>
      </c>
    </row>
    <row r="2174" spans="7:15" x14ac:dyDescent="0.3">
      <c r="G2174" s="6" t="s">
        <v>19</v>
      </c>
      <c r="H2174" s="6" t="s">
        <v>62</v>
      </c>
      <c r="N2174" s="6" t="s">
        <v>19</v>
      </c>
      <c r="O2174" s="6" t="s">
        <v>62</v>
      </c>
    </row>
    <row r="2175" spans="7:15" x14ac:dyDescent="0.3">
      <c r="G2175" s="7" t="s">
        <v>19</v>
      </c>
      <c r="H2175" s="7" t="s">
        <v>62</v>
      </c>
      <c r="N2175" s="7" t="s">
        <v>19</v>
      </c>
      <c r="O2175" s="7" t="s">
        <v>62</v>
      </c>
    </row>
    <row r="2176" spans="7:15" x14ac:dyDescent="0.3">
      <c r="G2176" s="6" t="s">
        <v>19</v>
      </c>
      <c r="H2176" s="6" t="s">
        <v>72</v>
      </c>
      <c r="N2176" s="6" t="s">
        <v>19</v>
      </c>
      <c r="O2176" s="6" t="s">
        <v>72</v>
      </c>
    </row>
    <row r="2177" spans="7:15" x14ac:dyDescent="0.3">
      <c r="G2177" s="7" t="s">
        <v>19</v>
      </c>
      <c r="H2177" s="7" t="s">
        <v>77</v>
      </c>
      <c r="N2177" s="7" t="s">
        <v>19</v>
      </c>
      <c r="O2177" s="7" t="s">
        <v>77</v>
      </c>
    </row>
    <row r="2178" spans="7:15" x14ac:dyDescent="0.3">
      <c r="G2178" s="6" t="s">
        <v>19</v>
      </c>
      <c r="H2178" s="6" t="s">
        <v>113</v>
      </c>
      <c r="N2178" s="6" t="s">
        <v>19</v>
      </c>
      <c r="O2178" s="6" t="s">
        <v>113</v>
      </c>
    </row>
    <row r="2179" spans="7:15" x14ac:dyDescent="0.3">
      <c r="G2179" s="7" t="s">
        <v>19</v>
      </c>
      <c r="H2179" s="7" t="s">
        <v>115</v>
      </c>
      <c r="N2179" s="7" t="s">
        <v>19</v>
      </c>
      <c r="O2179" s="7" t="s">
        <v>115</v>
      </c>
    </row>
    <row r="2180" spans="7:15" x14ac:dyDescent="0.3">
      <c r="G2180" s="6" t="s">
        <v>19</v>
      </c>
      <c r="H2180" s="6" t="s">
        <v>115</v>
      </c>
      <c r="N2180" s="6" t="s">
        <v>19</v>
      </c>
      <c r="O2180" s="6" t="s">
        <v>115</v>
      </c>
    </row>
    <row r="2181" spans="7:15" x14ac:dyDescent="0.3">
      <c r="G2181" s="7" t="s">
        <v>19</v>
      </c>
      <c r="H2181" s="7" t="s">
        <v>115</v>
      </c>
      <c r="N2181" s="7" t="s">
        <v>19</v>
      </c>
      <c r="O2181" s="7" t="s">
        <v>115</v>
      </c>
    </row>
    <row r="2182" spans="7:15" x14ac:dyDescent="0.3">
      <c r="G2182" s="6" t="s">
        <v>19</v>
      </c>
      <c r="H2182" s="6" t="s">
        <v>24</v>
      </c>
      <c r="N2182" s="6" t="s">
        <v>19</v>
      </c>
      <c r="O2182" s="6" t="s">
        <v>24</v>
      </c>
    </row>
    <row r="2183" spans="7:15" x14ac:dyDescent="0.3">
      <c r="G2183" s="7" t="s">
        <v>19</v>
      </c>
      <c r="H2183" s="7" t="s">
        <v>2204</v>
      </c>
      <c r="N2183" s="7" t="s">
        <v>19</v>
      </c>
      <c r="O2183" s="7" t="s">
        <v>2204</v>
      </c>
    </row>
    <row r="2184" spans="7:15" x14ac:dyDescent="0.3">
      <c r="G2184" s="6" t="s">
        <v>19</v>
      </c>
      <c r="H2184" s="6" t="s">
        <v>437</v>
      </c>
      <c r="N2184" s="6" t="s">
        <v>19</v>
      </c>
      <c r="O2184" s="6" t="s">
        <v>437</v>
      </c>
    </row>
    <row r="2185" spans="7:15" x14ac:dyDescent="0.3">
      <c r="G2185" s="7" t="s">
        <v>19</v>
      </c>
      <c r="H2185" s="7" t="s">
        <v>28</v>
      </c>
      <c r="N2185" s="7" t="s">
        <v>19</v>
      </c>
      <c r="O2185" s="7" t="s">
        <v>28</v>
      </c>
    </row>
    <row r="2186" spans="7:15" x14ac:dyDescent="0.3">
      <c r="G2186" s="6" t="s">
        <v>19</v>
      </c>
      <c r="H2186" s="6" t="s">
        <v>331</v>
      </c>
      <c r="N2186" s="6" t="s">
        <v>19</v>
      </c>
      <c r="O2186" s="6" t="s">
        <v>331</v>
      </c>
    </row>
    <row r="2187" spans="7:15" x14ac:dyDescent="0.3">
      <c r="G2187" s="7" t="s">
        <v>19</v>
      </c>
      <c r="H2187" s="7" t="s">
        <v>147</v>
      </c>
      <c r="N2187" s="7" t="s">
        <v>19</v>
      </c>
      <c r="O2187" s="7" t="s">
        <v>147</v>
      </c>
    </row>
    <row r="2188" spans="7:15" x14ac:dyDescent="0.3">
      <c r="G2188" s="6" t="s">
        <v>19</v>
      </c>
      <c r="H2188" s="6" t="s">
        <v>147</v>
      </c>
      <c r="N2188" s="6" t="s">
        <v>19</v>
      </c>
      <c r="O2188" s="6" t="s">
        <v>147</v>
      </c>
    </row>
    <row r="2189" spans="7:15" x14ac:dyDescent="0.3">
      <c r="G2189" s="7" t="s">
        <v>19</v>
      </c>
      <c r="H2189" s="7" t="s">
        <v>33</v>
      </c>
      <c r="N2189" s="7" t="s">
        <v>19</v>
      </c>
      <c r="O2189" s="7" t="s">
        <v>33</v>
      </c>
    </row>
    <row r="2190" spans="7:15" x14ac:dyDescent="0.3">
      <c r="G2190" s="6" t="s">
        <v>19</v>
      </c>
      <c r="H2190" s="6" t="s">
        <v>33</v>
      </c>
      <c r="N2190" s="6" t="s">
        <v>19</v>
      </c>
      <c r="O2190" s="6" t="s">
        <v>33</v>
      </c>
    </row>
    <row r="2191" spans="7:15" x14ac:dyDescent="0.3">
      <c r="G2191" s="7" t="s">
        <v>19</v>
      </c>
      <c r="H2191" s="7" t="s">
        <v>33</v>
      </c>
      <c r="N2191" s="7" t="s">
        <v>19</v>
      </c>
      <c r="O2191" s="7" t="s">
        <v>33</v>
      </c>
    </row>
    <row r="2192" spans="7:15" x14ac:dyDescent="0.3">
      <c r="G2192" s="6" t="s">
        <v>19</v>
      </c>
      <c r="H2192" s="6" t="s">
        <v>33</v>
      </c>
      <c r="N2192" s="6" t="s">
        <v>19</v>
      </c>
      <c r="O2192" s="6" t="s">
        <v>33</v>
      </c>
    </row>
    <row r="2193" spans="7:15" x14ac:dyDescent="0.3">
      <c r="G2193" s="7" t="s">
        <v>19</v>
      </c>
      <c r="H2193" s="7" t="s">
        <v>33</v>
      </c>
      <c r="N2193" s="7" t="s">
        <v>19</v>
      </c>
      <c r="O2193" s="7" t="s">
        <v>33</v>
      </c>
    </row>
    <row r="2194" spans="7:15" x14ac:dyDescent="0.3">
      <c r="G2194" s="6" t="s">
        <v>19</v>
      </c>
      <c r="H2194" s="6" t="s">
        <v>33</v>
      </c>
      <c r="N2194" s="6" t="s">
        <v>19</v>
      </c>
      <c r="O2194" s="6" t="s">
        <v>33</v>
      </c>
    </row>
    <row r="2195" spans="7:15" x14ac:dyDescent="0.3">
      <c r="G2195" s="7" t="s">
        <v>19</v>
      </c>
      <c r="H2195" s="7" t="s">
        <v>33</v>
      </c>
      <c r="N2195" s="7" t="s">
        <v>19</v>
      </c>
      <c r="O2195" s="7" t="s">
        <v>33</v>
      </c>
    </row>
    <row r="2196" spans="7:15" x14ac:dyDescent="0.3">
      <c r="G2196" s="6" t="s">
        <v>19</v>
      </c>
      <c r="H2196" s="6" t="s">
        <v>33</v>
      </c>
      <c r="N2196" s="6" t="s">
        <v>19</v>
      </c>
      <c r="O2196" s="6" t="s">
        <v>33</v>
      </c>
    </row>
    <row r="2197" spans="7:15" x14ac:dyDescent="0.3">
      <c r="G2197" s="7" t="s">
        <v>19</v>
      </c>
      <c r="H2197" s="7" t="s">
        <v>33</v>
      </c>
      <c r="N2197" s="7" t="s">
        <v>19</v>
      </c>
      <c r="O2197" s="7" t="s">
        <v>33</v>
      </c>
    </row>
    <row r="2198" spans="7:15" x14ac:dyDescent="0.3">
      <c r="G2198" s="6" t="s">
        <v>19</v>
      </c>
      <c r="H2198" s="6" t="s">
        <v>33</v>
      </c>
      <c r="N2198" s="6" t="s">
        <v>19</v>
      </c>
      <c r="O2198" s="6" t="s">
        <v>33</v>
      </c>
    </row>
    <row r="2199" spans="7:15" x14ac:dyDescent="0.3">
      <c r="G2199" s="7" t="s">
        <v>19</v>
      </c>
      <c r="H2199" s="7" t="s">
        <v>33</v>
      </c>
      <c r="N2199" s="7" t="s">
        <v>19</v>
      </c>
      <c r="O2199" s="7" t="s">
        <v>33</v>
      </c>
    </row>
    <row r="2200" spans="7:15" x14ac:dyDescent="0.3">
      <c r="G2200" s="6" t="s">
        <v>19</v>
      </c>
      <c r="H2200" s="6" t="s">
        <v>33</v>
      </c>
      <c r="N2200" s="6" t="s">
        <v>19</v>
      </c>
      <c r="O2200" s="6" t="s">
        <v>33</v>
      </c>
    </row>
    <row r="2201" spans="7:15" x14ac:dyDescent="0.3">
      <c r="G2201" s="7" t="s">
        <v>19</v>
      </c>
      <c r="H2201" s="7" t="s">
        <v>33</v>
      </c>
      <c r="N2201" s="7" t="s">
        <v>19</v>
      </c>
      <c r="O2201" s="7" t="s">
        <v>33</v>
      </c>
    </row>
    <row r="2202" spans="7:15" x14ac:dyDescent="0.3">
      <c r="G2202" s="6" t="s">
        <v>19</v>
      </c>
      <c r="H2202" s="6" t="s">
        <v>33</v>
      </c>
      <c r="N2202" s="6" t="s">
        <v>19</v>
      </c>
      <c r="O2202" s="6" t="s">
        <v>33</v>
      </c>
    </row>
    <row r="2203" spans="7:15" x14ac:dyDescent="0.3">
      <c r="G2203" s="7" t="s">
        <v>19</v>
      </c>
      <c r="H2203" s="7" t="s">
        <v>33</v>
      </c>
      <c r="N2203" s="7" t="s">
        <v>19</v>
      </c>
      <c r="O2203" s="7" t="s">
        <v>33</v>
      </c>
    </row>
    <row r="2204" spans="7:15" x14ac:dyDescent="0.3">
      <c r="G2204" s="6" t="s">
        <v>19</v>
      </c>
      <c r="H2204" s="6" t="s">
        <v>186</v>
      </c>
      <c r="N2204" s="6" t="s">
        <v>19</v>
      </c>
      <c r="O2204" s="6" t="s">
        <v>186</v>
      </c>
    </row>
    <row r="2205" spans="7:15" x14ac:dyDescent="0.3">
      <c r="G2205" s="7" t="s">
        <v>19</v>
      </c>
      <c r="H2205" s="7" t="s">
        <v>186</v>
      </c>
      <c r="N2205" s="7" t="s">
        <v>19</v>
      </c>
      <c r="O2205" s="7" t="s">
        <v>186</v>
      </c>
    </row>
    <row r="2206" spans="7:15" x14ac:dyDescent="0.3">
      <c r="G2206" s="6" t="s">
        <v>19</v>
      </c>
      <c r="H2206" s="6" t="s">
        <v>188</v>
      </c>
      <c r="N2206" s="6" t="s">
        <v>19</v>
      </c>
      <c r="O2206" s="6" t="s">
        <v>188</v>
      </c>
    </row>
    <row r="2207" spans="7:15" x14ac:dyDescent="0.3">
      <c r="G2207" s="7" t="s">
        <v>19</v>
      </c>
      <c r="H2207" s="7" t="s">
        <v>158</v>
      </c>
      <c r="N2207" s="7" t="s">
        <v>19</v>
      </c>
      <c r="O2207" s="7" t="s">
        <v>158</v>
      </c>
    </row>
    <row r="2208" spans="7:15" x14ac:dyDescent="0.3">
      <c r="G2208" s="6" t="s">
        <v>19</v>
      </c>
      <c r="H2208" s="6" t="s">
        <v>55</v>
      </c>
      <c r="N2208" s="6" t="s">
        <v>19</v>
      </c>
      <c r="O2208" s="6" t="s">
        <v>55</v>
      </c>
    </row>
    <row r="2209" spans="7:15" x14ac:dyDescent="0.3">
      <c r="G2209" s="7" t="s">
        <v>19</v>
      </c>
      <c r="H2209" s="7" t="s">
        <v>59</v>
      </c>
      <c r="N2209" s="7" t="s">
        <v>19</v>
      </c>
      <c r="O2209" s="7" t="s">
        <v>59</v>
      </c>
    </row>
    <row r="2210" spans="7:15" x14ac:dyDescent="0.3">
      <c r="G2210" s="6" t="s">
        <v>19</v>
      </c>
      <c r="H2210" s="6" t="s">
        <v>62</v>
      </c>
      <c r="N2210" s="6" t="s">
        <v>19</v>
      </c>
      <c r="O2210" s="6" t="s">
        <v>62</v>
      </c>
    </row>
    <row r="2211" spans="7:15" x14ac:dyDescent="0.3">
      <c r="G2211" s="7" t="s">
        <v>19</v>
      </c>
      <c r="H2211" s="7" t="s">
        <v>62</v>
      </c>
      <c r="N2211" s="7" t="s">
        <v>19</v>
      </c>
      <c r="O2211" s="7" t="s">
        <v>62</v>
      </c>
    </row>
    <row r="2212" spans="7:15" x14ac:dyDescent="0.3">
      <c r="G2212" s="6" t="s">
        <v>19</v>
      </c>
      <c r="H2212" s="6" t="s">
        <v>62</v>
      </c>
      <c r="N2212" s="6" t="s">
        <v>19</v>
      </c>
      <c r="O2212" s="6" t="s">
        <v>62</v>
      </c>
    </row>
    <row r="2213" spans="7:15" x14ac:dyDescent="0.3">
      <c r="G2213" s="7" t="s">
        <v>19</v>
      </c>
      <c r="H2213" s="7" t="s">
        <v>62</v>
      </c>
      <c r="N2213" s="7" t="s">
        <v>19</v>
      </c>
      <c r="O2213" s="7" t="s">
        <v>62</v>
      </c>
    </row>
    <row r="2214" spans="7:15" x14ac:dyDescent="0.3">
      <c r="G2214" s="6" t="s">
        <v>19</v>
      </c>
      <c r="H2214" s="6" t="s">
        <v>62</v>
      </c>
      <c r="N2214" s="6" t="s">
        <v>19</v>
      </c>
      <c r="O2214" s="6" t="s">
        <v>62</v>
      </c>
    </row>
    <row r="2215" spans="7:15" x14ac:dyDescent="0.3">
      <c r="G2215" s="7" t="s">
        <v>19</v>
      </c>
      <c r="H2215" s="7" t="s">
        <v>62</v>
      </c>
      <c r="N2215" s="7" t="s">
        <v>19</v>
      </c>
      <c r="O2215" s="7" t="s">
        <v>62</v>
      </c>
    </row>
    <row r="2216" spans="7:15" x14ac:dyDescent="0.3">
      <c r="G2216" s="6" t="s">
        <v>19</v>
      </c>
      <c r="H2216" s="6" t="s">
        <v>62</v>
      </c>
      <c r="N2216" s="6" t="s">
        <v>19</v>
      </c>
      <c r="O2216" s="6" t="s">
        <v>62</v>
      </c>
    </row>
    <row r="2217" spans="7:15" x14ac:dyDescent="0.3">
      <c r="G2217" s="7" t="s">
        <v>19</v>
      </c>
      <c r="H2217" s="7" t="s">
        <v>103</v>
      </c>
      <c r="N2217" s="7" t="s">
        <v>19</v>
      </c>
      <c r="O2217" s="7" t="s">
        <v>103</v>
      </c>
    </row>
    <row r="2218" spans="7:15" x14ac:dyDescent="0.3">
      <c r="G2218" s="6" t="s">
        <v>19</v>
      </c>
      <c r="H2218" s="6" t="s">
        <v>77</v>
      </c>
      <c r="N2218" s="6" t="s">
        <v>19</v>
      </c>
      <c r="O2218" s="6" t="s">
        <v>77</v>
      </c>
    </row>
    <row r="2219" spans="7:15" x14ac:dyDescent="0.3">
      <c r="G2219" s="7" t="s">
        <v>19</v>
      </c>
      <c r="H2219" s="7" t="s">
        <v>77</v>
      </c>
      <c r="N2219" s="7" t="s">
        <v>19</v>
      </c>
      <c r="O2219" s="7" t="s">
        <v>77</v>
      </c>
    </row>
    <row r="2220" spans="7:15" x14ac:dyDescent="0.3">
      <c r="G2220" s="6" t="s">
        <v>19</v>
      </c>
      <c r="H2220" s="6" t="s">
        <v>1116</v>
      </c>
      <c r="N2220" s="6" t="s">
        <v>19</v>
      </c>
      <c r="O2220" s="6" t="s">
        <v>1116</v>
      </c>
    </row>
    <row r="2221" spans="7:15" x14ac:dyDescent="0.3">
      <c r="G2221" s="7" t="s">
        <v>19</v>
      </c>
      <c r="H2221" s="7" t="s">
        <v>115</v>
      </c>
      <c r="N2221" s="7" t="s">
        <v>19</v>
      </c>
      <c r="O2221" s="7" t="s">
        <v>115</v>
      </c>
    </row>
    <row r="2222" spans="7:15" x14ac:dyDescent="0.3">
      <c r="G2222" s="6" t="s">
        <v>19</v>
      </c>
      <c r="H2222" s="6" t="s">
        <v>33</v>
      </c>
      <c r="N2222" s="6" t="s">
        <v>19</v>
      </c>
      <c r="O2222" s="6" t="s">
        <v>33</v>
      </c>
    </row>
    <row r="2223" spans="7:15" x14ac:dyDescent="0.3">
      <c r="G2223" s="7" t="s">
        <v>19</v>
      </c>
      <c r="H2223" s="7" t="s">
        <v>33</v>
      </c>
      <c r="N2223" s="7" t="s">
        <v>19</v>
      </c>
      <c r="O2223" s="7" t="s">
        <v>33</v>
      </c>
    </row>
    <row r="2224" spans="7:15" x14ac:dyDescent="0.3">
      <c r="G2224" s="6" t="s">
        <v>19</v>
      </c>
      <c r="H2224" s="6" t="s">
        <v>33</v>
      </c>
      <c r="N2224" s="6" t="s">
        <v>19</v>
      </c>
      <c r="O2224" s="6" t="s">
        <v>33</v>
      </c>
    </row>
    <row r="2225" spans="7:15" x14ac:dyDescent="0.3">
      <c r="G2225" s="7" t="s">
        <v>19</v>
      </c>
      <c r="H2225" s="7" t="s">
        <v>33</v>
      </c>
      <c r="N2225" s="7" t="s">
        <v>19</v>
      </c>
      <c r="O2225" s="7" t="s">
        <v>33</v>
      </c>
    </row>
    <row r="2226" spans="7:15" x14ac:dyDescent="0.3">
      <c r="G2226" s="6" t="s">
        <v>19</v>
      </c>
      <c r="H2226" s="6" t="s">
        <v>33</v>
      </c>
      <c r="N2226" s="6" t="s">
        <v>19</v>
      </c>
      <c r="O2226" s="6" t="s">
        <v>33</v>
      </c>
    </row>
    <row r="2227" spans="7:15" x14ac:dyDescent="0.3">
      <c r="G2227" s="7" t="s">
        <v>19</v>
      </c>
      <c r="H2227" s="7" t="s">
        <v>33</v>
      </c>
      <c r="N2227" s="7" t="s">
        <v>19</v>
      </c>
      <c r="O2227" s="7" t="s">
        <v>33</v>
      </c>
    </row>
    <row r="2228" spans="7:15" x14ac:dyDescent="0.3">
      <c r="G2228" s="6" t="s">
        <v>19</v>
      </c>
      <c r="H2228" s="6" t="s">
        <v>33</v>
      </c>
      <c r="N2228" s="6" t="s">
        <v>19</v>
      </c>
      <c r="O2228" s="6" t="s">
        <v>33</v>
      </c>
    </row>
    <row r="2229" spans="7:15" x14ac:dyDescent="0.3">
      <c r="G2229" s="7" t="s">
        <v>19</v>
      </c>
      <c r="H2229" s="7" t="s">
        <v>33</v>
      </c>
      <c r="N2229" s="7" t="s">
        <v>19</v>
      </c>
      <c r="O2229" s="7" t="s">
        <v>33</v>
      </c>
    </row>
    <row r="2230" spans="7:15" x14ac:dyDescent="0.3">
      <c r="G2230" s="6" t="s">
        <v>19</v>
      </c>
      <c r="H2230" s="6" t="s">
        <v>33</v>
      </c>
      <c r="N2230" s="6" t="s">
        <v>19</v>
      </c>
      <c r="O2230" s="6" t="s">
        <v>33</v>
      </c>
    </row>
    <row r="2231" spans="7:15" x14ac:dyDescent="0.3">
      <c r="G2231" s="7" t="s">
        <v>19</v>
      </c>
      <c r="H2231" s="7" t="s">
        <v>33</v>
      </c>
      <c r="N2231" s="7" t="s">
        <v>19</v>
      </c>
      <c r="O2231" s="7" t="s">
        <v>33</v>
      </c>
    </row>
    <row r="2232" spans="7:15" x14ac:dyDescent="0.3">
      <c r="G2232" s="6" t="s">
        <v>19</v>
      </c>
      <c r="H2232" s="6" t="s">
        <v>545</v>
      </c>
      <c r="N2232" s="6" t="s">
        <v>19</v>
      </c>
      <c r="O2232" s="6" t="s">
        <v>545</v>
      </c>
    </row>
    <row r="2233" spans="7:15" x14ac:dyDescent="0.3">
      <c r="G2233" s="7" t="s">
        <v>19</v>
      </c>
      <c r="H2233" s="7" t="s">
        <v>98</v>
      </c>
      <c r="N2233" s="7" t="s">
        <v>19</v>
      </c>
      <c r="O2233" s="7" t="s">
        <v>98</v>
      </c>
    </row>
    <row r="2234" spans="7:15" x14ac:dyDescent="0.3">
      <c r="G2234" s="6" t="s">
        <v>19</v>
      </c>
      <c r="H2234" s="6" t="s">
        <v>49</v>
      </c>
      <c r="N2234" s="6" t="s">
        <v>19</v>
      </c>
      <c r="O2234" s="6" t="s">
        <v>49</v>
      </c>
    </row>
    <row r="2235" spans="7:15" x14ac:dyDescent="0.3">
      <c r="G2235" s="7" t="s">
        <v>19</v>
      </c>
      <c r="H2235" s="7" t="s">
        <v>188</v>
      </c>
      <c r="N2235" s="7" t="s">
        <v>19</v>
      </c>
      <c r="O2235" s="7" t="s">
        <v>188</v>
      </c>
    </row>
    <row r="2236" spans="7:15" x14ac:dyDescent="0.3">
      <c r="G2236" s="6" t="s">
        <v>19</v>
      </c>
      <c r="H2236" s="6" t="s">
        <v>188</v>
      </c>
      <c r="N2236" s="6" t="s">
        <v>19</v>
      </c>
      <c r="O2236" s="6" t="s">
        <v>188</v>
      </c>
    </row>
    <row r="2237" spans="7:15" x14ac:dyDescent="0.3">
      <c r="G2237" s="7" t="s">
        <v>19</v>
      </c>
      <c r="H2237" s="7" t="s">
        <v>55</v>
      </c>
      <c r="N2237" s="7" t="s">
        <v>19</v>
      </c>
      <c r="O2237" s="7" t="s">
        <v>55</v>
      </c>
    </row>
    <row r="2238" spans="7:15" x14ac:dyDescent="0.3">
      <c r="G2238" s="6" t="s">
        <v>19</v>
      </c>
      <c r="H2238" s="6" t="s">
        <v>55</v>
      </c>
      <c r="N2238" s="6" t="s">
        <v>19</v>
      </c>
      <c r="O2238" s="6" t="s">
        <v>55</v>
      </c>
    </row>
    <row r="2239" spans="7:15" x14ac:dyDescent="0.3">
      <c r="G2239" s="7" t="s">
        <v>19</v>
      </c>
      <c r="H2239" s="7" t="s">
        <v>59</v>
      </c>
      <c r="N2239" s="7" t="s">
        <v>19</v>
      </c>
      <c r="O2239" s="7" t="s">
        <v>59</v>
      </c>
    </row>
    <row r="2240" spans="7:15" x14ac:dyDescent="0.3">
      <c r="G2240" s="6" t="s">
        <v>19</v>
      </c>
      <c r="H2240" s="6" t="s">
        <v>59</v>
      </c>
      <c r="N2240" s="6" t="s">
        <v>19</v>
      </c>
      <c r="O2240" s="6" t="s">
        <v>59</v>
      </c>
    </row>
    <row r="2241" spans="7:15" x14ac:dyDescent="0.3">
      <c r="G2241" s="7" t="s">
        <v>19</v>
      </c>
      <c r="H2241" s="7" t="s">
        <v>59</v>
      </c>
      <c r="N2241" s="7" t="s">
        <v>19</v>
      </c>
      <c r="O2241" s="7" t="s">
        <v>59</v>
      </c>
    </row>
    <row r="2242" spans="7:15" x14ac:dyDescent="0.3">
      <c r="G2242" s="6" t="s">
        <v>19</v>
      </c>
      <c r="H2242" s="6" t="s">
        <v>62</v>
      </c>
      <c r="N2242" s="6" t="s">
        <v>19</v>
      </c>
      <c r="O2242" s="6" t="s">
        <v>62</v>
      </c>
    </row>
    <row r="2243" spans="7:15" x14ac:dyDescent="0.3">
      <c r="G2243" s="7" t="s">
        <v>19</v>
      </c>
      <c r="H2243" s="7" t="s">
        <v>62</v>
      </c>
      <c r="N2243" s="7" t="s">
        <v>19</v>
      </c>
      <c r="O2243" s="7" t="s">
        <v>62</v>
      </c>
    </row>
    <row r="2244" spans="7:15" x14ac:dyDescent="0.3">
      <c r="G2244" s="6" t="s">
        <v>19</v>
      </c>
      <c r="H2244" s="6" t="s">
        <v>62</v>
      </c>
      <c r="N2244" s="6" t="s">
        <v>19</v>
      </c>
      <c r="O2244" s="6" t="s">
        <v>62</v>
      </c>
    </row>
    <row r="2245" spans="7:15" x14ac:dyDescent="0.3">
      <c r="G2245" s="7" t="s">
        <v>19</v>
      </c>
      <c r="H2245" s="7" t="s">
        <v>62</v>
      </c>
      <c r="N2245" s="7" t="s">
        <v>19</v>
      </c>
      <c r="O2245" s="7" t="s">
        <v>62</v>
      </c>
    </row>
    <row r="2246" spans="7:15" x14ac:dyDescent="0.3">
      <c r="G2246" s="6" t="s">
        <v>19</v>
      </c>
      <c r="H2246" s="6" t="s">
        <v>62</v>
      </c>
      <c r="N2246" s="6" t="s">
        <v>19</v>
      </c>
      <c r="O2246" s="6" t="s">
        <v>62</v>
      </c>
    </row>
    <row r="2247" spans="7:15" x14ac:dyDescent="0.3">
      <c r="G2247" s="7" t="s">
        <v>19</v>
      </c>
      <c r="H2247" s="7" t="s">
        <v>62</v>
      </c>
      <c r="N2247" s="7" t="s">
        <v>19</v>
      </c>
      <c r="O2247" s="7" t="s">
        <v>62</v>
      </c>
    </row>
    <row r="2248" spans="7:15" x14ac:dyDescent="0.3">
      <c r="G2248" s="6" t="s">
        <v>19</v>
      </c>
      <c r="H2248" s="6" t="s">
        <v>108</v>
      </c>
      <c r="N2248" s="6" t="s">
        <v>19</v>
      </c>
      <c r="O2248" s="6" t="s">
        <v>108</v>
      </c>
    </row>
    <row r="2249" spans="7:15" x14ac:dyDescent="0.3">
      <c r="G2249" s="7" t="s">
        <v>19</v>
      </c>
      <c r="H2249" s="7" t="s">
        <v>82</v>
      </c>
      <c r="N2249" s="7" t="s">
        <v>19</v>
      </c>
      <c r="O2249" s="7" t="s">
        <v>82</v>
      </c>
    </row>
    <row r="2250" spans="7:15" x14ac:dyDescent="0.3">
      <c r="G2250" s="6" t="s">
        <v>19</v>
      </c>
      <c r="H2250" s="6" t="s">
        <v>115</v>
      </c>
      <c r="N2250" s="6" t="s">
        <v>19</v>
      </c>
      <c r="O2250" s="6" t="s">
        <v>115</v>
      </c>
    </row>
    <row r="2251" spans="7:15" x14ac:dyDescent="0.3">
      <c r="G2251" s="7" t="s">
        <v>19</v>
      </c>
      <c r="H2251" s="7" t="s">
        <v>115</v>
      </c>
      <c r="N2251" s="7" t="s">
        <v>19</v>
      </c>
      <c r="O2251" s="7" t="s">
        <v>115</v>
      </c>
    </row>
    <row r="2252" spans="7:15" x14ac:dyDescent="0.3">
      <c r="G2252" s="6" t="s">
        <v>19</v>
      </c>
      <c r="H2252" s="6" t="s">
        <v>115</v>
      </c>
      <c r="N2252" s="6" t="s">
        <v>19</v>
      </c>
      <c r="O2252" s="6" t="s">
        <v>115</v>
      </c>
    </row>
    <row r="2253" spans="7:15" x14ac:dyDescent="0.3">
      <c r="G2253" s="7" t="s">
        <v>19</v>
      </c>
      <c r="H2253" s="7" t="s">
        <v>24</v>
      </c>
      <c r="N2253" s="7" t="s">
        <v>19</v>
      </c>
      <c r="O2253" s="7" t="s">
        <v>24</v>
      </c>
    </row>
    <row r="2254" spans="7:15" x14ac:dyDescent="0.3">
      <c r="G2254" s="6" t="s">
        <v>19</v>
      </c>
      <c r="H2254" s="6" t="s">
        <v>437</v>
      </c>
      <c r="N2254" s="6" t="s">
        <v>19</v>
      </c>
      <c r="O2254" s="6" t="s">
        <v>437</v>
      </c>
    </row>
    <row r="2255" spans="7:15" x14ac:dyDescent="0.3">
      <c r="G2255" s="7" t="s">
        <v>19</v>
      </c>
      <c r="H2255" s="7" t="s">
        <v>28</v>
      </c>
      <c r="N2255" s="7" t="s">
        <v>19</v>
      </c>
      <c r="O2255" s="7" t="s">
        <v>28</v>
      </c>
    </row>
    <row r="2256" spans="7:15" x14ac:dyDescent="0.3">
      <c r="G2256" s="6" t="s">
        <v>19</v>
      </c>
      <c r="H2256" s="6" t="s">
        <v>147</v>
      </c>
      <c r="N2256" s="6" t="s">
        <v>19</v>
      </c>
      <c r="O2256" s="6" t="s">
        <v>147</v>
      </c>
    </row>
    <row r="2257" spans="7:15" x14ac:dyDescent="0.3">
      <c r="G2257" s="7" t="s">
        <v>19</v>
      </c>
      <c r="H2257" s="7" t="s">
        <v>147</v>
      </c>
      <c r="N2257" s="7" t="s">
        <v>19</v>
      </c>
      <c r="O2257" s="7" t="s">
        <v>147</v>
      </c>
    </row>
    <row r="2258" spans="7:15" x14ac:dyDescent="0.3">
      <c r="G2258" s="6" t="s">
        <v>19</v>
      </c>
      <c r="H2258" s="6" t="s">
        <v>33</v>
      </c>
      <c r="N2258" s="6" t="s">
        <v>19</v>
      </c>
      <c r="O2258" s="6" t="s">
        <v>33</v>
      </c>
    </row>
    <row r="2259" spans="7:15" x14ac:dyDescent="0.3">
      <c r="G2259" s="7" t="s">
        <v>19</v>
      </c>
      <c r="H2259" s="7" t="s">
        <v>33</v>
      </c>
      <c r="N2259" s="7" t="s">
        <v>19</v>
      </c>
      <c r="O2259" s="7" t="s">
        <v>33</v>
      </c>
    </row>
    <row r="2260" spans="7:15" x14ac:dyDescent="0.3">
      <c r="G2260" s="6" t="s">
        <v>19</v>
      </c>
      <c r="H2260" s="6" t="s">
        <v>33</v>
      </c>
      <c r="N2260" s="6" t="s">
        <v>19</v>
      </c>
      <c r="O2260" s="6" t="s">
        <v>33</v>
      </c>
    </row>
    <row r="2261" spans="7:15" x14ac:dyDescent="0.3">
      <c r="G2261" s="7" t="s">
        <v>19</v>
      </c>
      <c r="H2261" s="7" t="s">
        <v>33</v>
      </c>
      <c r="N2261" s="7" t="s">
        <v>19</v>
      </c>
      <c r="O2261" s="7" t="s">
        <v>33</v>
      </c>
    </row>
    <row r="2262" spans="7:15" x14ac:dyDescent="0.3">
      <c r="G2262" s="6" t="s">
        <v>19</v>
      </c>
      <c r="H2262" s="6" t="s">
        <v>33</v>
      </c>
      <c r="N2262" s="6" t="s">
        <v>19</v>
      </c>
      <c r="O2262" s="6" t="s">
        <v>33</v>
      </c>
    </row>
    <row r="2263" spans="7:15" x14ac:dyDescent="0.3">
      <c r="G2263" s="7" t="s">
        <v>19</v>
      </c>
      <c r="H2263" s="7" t="s">
        <v>33</v>
      </c>
      <c r="N2263" s="7" t="s">
        <v>19</v>
      </c>
      <c r="O2263" s="7" t="s">
        <v>33</v>
      </c>
    </row>
    <row r="2264" spans="7:15" x14ac:dyDescent="0.3">
      <c r="G2264" s="6" t="s">
        <v>19</v>
      </c>
      <c r="H2264" s="6" t="s">
        <v>33</v>
      </c>
      <c r="N2264" s="6" t="s">
        <v>19</v>
      </c>
      <c r="O2264" s="6" t="s">
        <v>33</v>
      </c>
    </row>
    <row r="2265" spans="7:15" x14ac:dyDescent="0.3">
      <c r="G2265" s="7" t="s">
        <v>19</v>
      </c>
      <c r="H2265" s="7" t="s">
        <v>33</v>
      </c>
      <c r="N2265" s="7" t="s">
        <v>19</v>
      </c>
      <c r="O2265" s="7" t="s">
        <v>33</v>
      </c>
    </row>
    <row r="2266" spans="7:15" x14ac:dyDescent="0.3">
      <c r="G2266" s="6" t="s">
        <v>19</v>
      </c>
      <c r="H2266" s="6" t="s">
        <v>33</v>
      </c>
      <c r="N2266" s="6" t="s">
        <v>19</v>
      </c>
      <c r="O2266" s="6" t="s">
        <v>33</v>
      </c>
    </row>
    <row r="2267" spans="7:15" x14ac:dyDescent="0.3">
      <c r="G2267" s="7" t="s">
        <v>19</v>
      </c>
      <c r="H2267" s="7" t="s">
        <v>33</v>
      </c>
      <c r="N2267" s="7" t="s">
        <v>19</v>
      </c>
      <c r="O2267" s="7" t="s">
        <v>33</v>
      </c>
    </row>
    <row r="2268" spans="7:15" x14ac:dyDescent="0.3">
      <c r="G2268" s="6" t="s">
        <v>19</v>
      </c>
      <c r="H2268" s="6" t="s">
        <v>33</v>
      </c>
      <c r="N2268" s="6" t="s">
        <v>19</v>
      </c>
      <c r="O2268" s="6" t="s">
        <v>33</v>
      </c>
    </row>
    <row r="2269" spans="7:15" x14ac:dyDescent="0.3">
      <c r="G2269" s="7" t="s">
        <v>19</v>
      </c>
      <c r="H2269" s="7" t="s">
        <v>33</v>
      </c>
      <c r="N2269" s="7" t="s">
        <v>19</v>
      </c>
      <c r="O2269" s="7" t="s">
        <v>33</v>
      </c>
    </row>
    <row r="2270" spans="7:15" x14ac:dyDescent="0.3">
      <c r="G2270" s="6" t="s">
        <v>19</v>
      </c>
      <c r="H2270" s="6" t="s">
        <v>49</v>
      </c>
      <c r="N2270" s="6" t="s">
        <v>19</v>
      </c>
      <c r="O2270" s="6" t="s">
        <v>49</v>
      </c>
    </row>
    <row r="2271" spans="7:15" x14ac:dyDescent="0.3">
      <c r="G2271" s="7" t="s">
        <v>19</v>
      </c>
      <c r="H2271" s="7" t="s">
        <v>52</v>
      </c>
      <c r="N2271" s="7" t="s">
        <v>19</v>
      </c>
      <c r="O2271" s="7" t="s">
        <v>52</v>
      </c>
    </row>
    <row r="2272" spans="7:15" x14ac:dyDescent="0.3">
      <c r="G2272" s="6" t="s">
        <v>19</v>
      </c>
      <c r="H2272" s="6" t="s">
        <v>55</v>
      </c>
      <c r="N2272" s="6" t="s">
        <v>19</v>
      </c>
      <c r="O2272" s="6" t="s">
        <v>55</v>
      </c>
    </row>
    <row r="2273" spans="7:15" x14ac:dyDescent="0.3">
      <c r="G2273" s="7" t="s">
        <v>19</v>
      </c>
      <c r="H2273" s="7" t="s">
        <v>62</v>
      </c>
      <c r="N2273" s="7" t="s">
        <v>19</v>
      </c>
      <c r="O2273" s="7" t="s">
        <v>62</v>
      </c>
    </row>
    <row r="2274" spans="7:15" x14ac:dyDescent="0.3">
      <c r="G2274" s="6" t="s">
        <v>19</v>
      </c>
      <c r="H2274" s="6" t="s">
        <v>62</v>
      </c>
      <c r="N2274" s="6" t="s">
        <v>19</v>
      </c>
      <c r="O2274" s="6" t="s">
        <v>62</v>
      </c>
    </row>
    <row r="2275" spans="7:15" x14ac:dyDescent="0.3">
      <c r="G2275" s="7" t="s">
        <v>19</v>
      </c>
      <c r="H2275" s="7" t="s">
        <v>62</v>
      </c>
      <c r="N2275" s="7" t="s">
        <v>19</v>
      </c>
      <c r="O2275" s="7" t="s">
        <v>62</v>
      </c>
    </row>
    <row r="2276" spans="7:15" x14ac:dyDescent="0.3">
      <c r="G2276" s="6" t="s">
        <v>19</v>
      </c>
      <c r="H2276" s="6" t="s">
        <v>62</v>
      </c>
      <c r="N2276" s="6" t="s">
        <v>19</v>
      </c>
      <c r="O2276" s="6" t="s">
        <v>62</v>
      </c>
    </row>
    <row r="2277" spans="7:15" x14ac:dyDescent="0.3">
      <c r="G2277" s="7" t="s">
        <v>19</v>
      </c>
      <c r="H2277" s="7" t="s">
        <v>103</v>
      </c>
      <c r="N2277" s="7" t="s">
        <v>19</v>
      </c>
      <c r="O2277" s="7" t="s">
        <v>103</v>
      </c>
    </row>
    <row r="2278" spans="7:15" x14ac:dyDescent="0.3">
      <c r="G2278" s="6" t="s">
        <v>19</v>
      </c>
      <c r="H2278" s="6" t="s">
        <v>103</v>
      </c>
      <c r="N2278" s="6" t="s">
        <v>19</v>
      </c>
      <c r="O2278" s="6" t="s">
        <v>103</v>
      </c>
    </row>
    <row r="2279" spans="7:15" x14ac:dyDescent="0.3">
      <c r="G2279" s="7" t="s">
        <v>19</v>
      </c>
      <c r="H2279" s="7" t="s">
        <v>103</v>
      </c>
      <c r="N2279" s="7" t="s">
        <v>19</v>
      </c>
      <c r="O2279" s="7" t="s">
        <v>103</v>
      </c>
    </row>
    <row r="2280" spans="7:15" x14ac:dyDescent="0.3">
      <c r="G2280" s="6" t="s">
        <v>19</v>
      </c>
      <c r="H2280" s="6" t="s">
        <v>201</v>
      </c>
      <c r="N2280" s="6" t="s">
        <v>19</v>
      </c>
      <c r="O2280" s="6" t="s">
        <v>201</v>
      </c>
    </row>
    <row r="2281" spans="7:15" x14ac:dyDescent="0.3">
      <c r="G2281" s="7" t="s">
        <v>19</v>
      </c>
      <c r="H2281" s="7" t="s">
        <v>72</v>
      </c>
      <c r="N2281" s="7" t="s">
        <v>19</v>
      </c>
      <c r="O2281" s="7" t="s">
        <v>72</v>
      </c>
    </row>
    <row r="2282" spans="7:15" x14ac:dyDescent="0.3">
      <c r="G2282" s="6" t="s">
        <v>19</v>
      </c>
      <c r="H2282" s="6" t="s">
        <v>72</v>
      </c>
      <c r="N2282" s="6" t="s">
        <v>19</v>
      </c>
      <c r="O2282" s="6" t="s">
        <v>72</v>
      </c>
    </row>
    <row r="2283" spans="7:15" x14ac:dyDescent="0.3">
      <c r="G2283" s="7" t="s">
        <v>19</v>
      </c>
      <c r="H2283" s="7" t="s">
        <v>77</v>
      </c>
      <c r="N2283" s="7" t="s">
        <v>19</v>
      </c>
      <c r="O2283" s="7" t="s">
        <v>77</v>
      </c>
    </row>
    <row r="2284" spans="7:15" x14ac:dyDescent="0.3">
      <c r="G2284" s="6" t="s">
        <v>19</v>
      </c>
      <c r="H2284" s="6" t="s">
        <v>108</v>
      </c>
      <c r="N2284" s="6" t="s">
        <v>19</v>
      </c>
      <c r="O2284" s="6" t="s">
        <v>108</v>
      </c>
    </row>
    <row r="2285" spans="7:15" x14ac:dyDescent="0.3">
      <c r="G2285" s="7" t="s">
        <v>19</v>
      </c>
      <c r="H2285" s="7" t="s">
        <v>113</v>
      </c>
      <c r="N2285" s="7" t="s">
        <v>19</v>
      </c>
      <c r="O2285" s="7" t="s">
        <v>113</v>
      </c>
    </row>
    <row r="2286" spans="7:15" x14ac:dyDescent="0.3">
      <c r="G2286" s="6" t="s">
        <v>19</v>
      </c>
      <c r="H2286" s="6" t="s">
        <v>115</v>
      </c>
      <c r="N2286" s="6" t="s">
        <v>19</v>
      </c>
      <c r="O2286" s="6" t="s">
        <v>115</v>
      </c>
    </row>
    <row r="2287" spans="7:15" x14ac:dyDescent="0.3">
      <c r="G2287" s="7" t="s">
        <v>19</v>
      </c>
      <c r="H2287" s="7" t="s">
        <v>115</v>
      </c>
      <c r="N2287" s="7" t="s">
        <v>19</v>
      </c>
      <c r="O2287" s="7" t="s">
        <v>115</v>
      </c>
    </row>
    <row r="2288" spans="7:15" x14ac:dyDescent="0.3">
      <c r="G2288" s="6" t="s">
        <v>19</v>
      </c>
      <c r="H2288" s="6" t="s">
        <v>28</v>
      </c>
      <c r="N2288" s="6" t="s">
        <v>19</v>
      </c>
      <c r="O2288" s="6" t="s">
        <v>28</v>
      </c>
    </row>
    <row r="2289" spans="7:15" x14ac:dyDescent="0.3">
      <c r="G2289" s="7" t="s">
        <v>19</v>
      </c>
      <c r="H2289" s="7" t="s">
        <v>28</v>
      </c>
      <c r="N2289" s="7" t="s">
        <v>19</v>
      </c>
      <c r="O2289" s="7" t="s">
        <v>28</v>
      </c>
    </row>
    <row r="2290" spans="7:15" x14ac:dyDescent="0.3">
      <c r="G2290" s="6" t="s">
        <v>19</v>
      </c>
      <c r="H2290" s="6" t="s">
        <v>33</v>
      </c>
      <c r="N2290" s="6" t="s">
        <v>19</v>
      </c>
      <c r="O2290" s="6" t="s">
        <v>33</v>
      </c>
    </row>
    <row r="2291" spans="7:15" x14ac:dyDescent="0.3">
      <c r="G2291" s="7" t="s">
        <v>19</v>
      </c>
      <c r="H2291" s="7" t="s">
        <v>33</v>
      </c>
      <c r="N2291" s="7" t="s">
        <v>19</v>
      </c>
      <c r="O2291" s="7" t="s">
        <v>33</v>
      </c>
    </row>
    <row r="2292" spans="7:15" x14ac:dyDescent="0.3">
      <c r="G2292" s="6" t="s">
        <v>19</v>
      </c>
      <c r="H2292" s="6" t="s">
        <v>33</v>
      </c>
      <c r="N2292" s="6" t="s">
        <v>19</v>
      </c>
      <c r="O2292" s="6" t="s">
        <v>33</v>
      </c>
    </row>
    <row r="2293" spans="7:15" x14ac:dyDescent="0.3">
      <c r="G2293" s="7" t="s">
        <v>19</v>
      </c>
      <c r="H2293" s="7" t="s">
        <v>33</v>
      </c>
      <c r="N2293" s="7" t="s">
        <v>19</v>
      </c>
      <c r="O2293" s="7" t="s">
        <v>33</v>
      </c>
    </row>
    <row r="2294" spans="7:15" x14ac:dyDescent="0.3">
      <c r="G2294" s="6" t="s">
        <v>19</v>
      </c>
      <c r="H2294" s="6" t="s">
        <v>33</v>
      </c>
      <c r="N2294" s="6" t="s">
        <v>19</v>
      </c>
      <c r="O2294" s="6" t="s">
        <v>33</v>
      </c>
    </row>
    <row r="2295" spans="7:15" x14ac:dyDescent="0.3">
      <c r="G2295" s="7" t="s">
        <v>19</v>
      </c>
      <c r="H2295" s="7" t="s">
        <v>33</v>
      </c>
      <c r="N2295" s="7" t="s">
        <v>19</v>
      </c>
      <c r="O2295" s="7" t="s">
        <v>33</v>
      </c>
    </row>
    <row r="2296" spans="7:15" x14ac:dyDescent="0.3">
      <c r="G2296" s="6" t="s">
        <v>19</v>
      </c>
      <c r="H2296" s="6" t="s">
        <v>62</v>
      </c>
      <c r="N2296" s="6" t="s">
        <v>19</v>
      </c>
      <c r="O2296" s="6" t="s">
        <v>62</v>
      </c>
    </row>
    <row r="2297" spans="7:15" x14ac:dyDescent="0.3">
      <c r="G2297" s="7" t="s">
        <v>19</v>
      </c>
      <c r="H2297" s="7" t="s">
        <v>103</v>
      </c>
      <c r="N2297" s="7" t="s">
        <v>19</v>
      </c>
      <c r="O2297" s="7" t="s">
        <v>103</v>
      </c>
    </row>
    <row r="2298" spans="7:15" x14ac:dyDescent="0.3">
      <c r="G2298" s="6" t="s">
        <v>19</v>
      </c>
      <c r="H2298" s="6" t="s">
        <v>72</v>
      </c>
      <c r="N2298" s="6" t="s">
        <v>19</v>
      </c>
      <c r="O2298" s="6" t="s">
        <v>72</v>
      </c>
    </row>
    <row r="2299" spans="7:15" x14ac:dyDescent="0.3">
      <c r="G2299" s="7" t="s">
        <v>19</v>
      </c>
      <c r="H2299" s="7" t="s">
        <v>77</v>
      </c>
      <c r="N2299" s="7" t="s">
        <v>19</v>
      </c>
      <c r="O2299" s="7" t="s">
        <v>77</v>
      </c>
    </row>
    <row r="2300" spans="7:15" x14ac:dyDescent="0.3">
      <c r="G2300" s="6" t="s">
        <v>19</v>
      </c>
      <c r="H2300" s="6" t="s">
        <v>115</v>
      </c>
      <c r="N2300" s="6" t="s">
        <v>19</v>
      </c>
      <c r="O2300" s="6" t="s">
        <v>115</v>
      </c>
    </row>
    <row r="2301" spans="7:15" x14ac:dyDescent="0.3">
      <c r="G2301" s="7" t="s">
        <v>19</v>
      </c>
      <c r="H2301" s="7" t="s">
        <v>24</v>
      </c>
      <c r="N2301" s="7" t="s">
        <v>19</v>
      </c>
      <c r="O2301" s="7" t="s">
        <v>24</v>
      </c>
    </row>
    <row r="2302" spans="7:15" x14ac:dyDescent="0.3">
      <c r="G2302" s="6" t="s">
        <v>19</v>
      </c>
      <c r="H2302" s="6" t="s">
        <v>33</v>
      </c>
      <c r="N2302" s="6" t="s">
        <v>19</v>
      </c>
      <c r="O2302" s="6" t="s">
        <v>33</v>
      </c>
    </row>
    <row r="2303" spans="7:15" x14ac:dyDescent="0.3">
      <c r="G2303" s="7" t="s">
        <v>19</v>
      </c>
      <c r="H2303" s="7" t="s">
        <v>33</v>
      </c>
      <c r="N2303" s="7" t="s">
        <v>19</v>
      </c>
      <c r="O2303" s="7" t="s">
        <v>33</v>
      </c>
    </row>
    <row r="2304" spans="7:15" x14ac:dyDescent="0.3">
      <c r="G2304" s="6" t="s">
        <v>19</v>
      </c>
      <c r="H2304" s="6" t="s">
        <v>33</v>
      </c>
      <c r="N2304" s="6" t="s">
        <v>19</v>
      </c>
      <c r="O2304" s="6" t="s">
        <v>33</v>
      </c>
    </row>
    <row r="2305" spans="7:15" x14ac:dyDescent="0.3">
      <c r="G2305" s="7" t="s">
        <v>19</v>
      </c>
      <c r="H2305" s="7" t="s">
        <v>33</v>
      </c>
      <c r="N2305" s="7" t="s">
        <v>19</v>
      </c>
      <c r="O2305" s="7" t="s">
        <v>33</v>
      </c>
    </row>
    <row r="2306" spans="7:15" x14ac:dyDescent="0.3">
      <c r="G2306" s="6" t="s">
        <v>19</v>
      </c>
      <c r="H2306" s="6" t="s">
        <v>33</v>
      </c>
      <c r="N2306" s="6" t="s">
        <v>19</v>
      </c>
      <c r="O2306" s="6" t="s">
        <v>33</v>
      </c>
    </row>
    <row r="2307" spans="7:15" x14ac:dyDescent="0.3">
      <c r="G2307" s="7" t="s">
        <v>19</v>
      </c>
      <c r="H2307" s="7" t="s">
        <v>33</v>
      </c>
      <c r="N2307" s="7" t="s">
        <v>19</v>
      </c>
      <c r="O2307" s="7" t="s">
        <v>33</v>
      </c>
    </row>
    <row r="2308" spans="7:15" x14ac:dyDescent="0.3">
      <c r="G2308" s="6" t="s">
        <v>19</v>
      </c>
      <c r="H2308" s="6" t="s">
        <v>33</v>
      </c>
      <c r="N2308" s="6" t="s">
        <v>19</v>
      </c>
      <c r="O2308" s="6" t="s">
        <v>33</v>
      </c>
    </row>
    <row r="2309" spans="7:15" x14ac:dyDescent="0.3">
      <c r="G2309" s="7" t="s">
        <v>19</v>
      </c>
      <c r="H2309" s="7" t="s">
        <v>33</v>
      </c>
      <c r="N2309" s="7" t="s">
        <v>19</v>
      </c>
      <c r="O2309" s="7" t="s">
        <v>33</v>
      </c>
    </row>
    <row r="2310" spans="7:15" x14ac:dyDescent="0.3">
      <c r="G2310" s="6" t="s">
        <v>19</v>
      </c>
      <c r="H2310" s="6" t="s">
        <v>33</v>
      </c>
      <c r="N2310" s="6" t="s">
        <v>19</v>
      </c>
      <c r="O2310" s="6" t="s">
        <v>33</v>
      </c>
    </row>
    <row r="2311" spans="7:15" x14ac:dyDescent="0.3">
      <c r="G2311" s="7" t="s">
        <v>19</v>
      </c>
      <c r="H2311" s="7" t="s">
        <v>33</v>
      </c>
      <c r="N2311" s="7" t="s">
        <v>19</v>
      </c>
      <c r="O2311" s="7" t="s">
        <v>33</v>
      </c>
    </row>
    <row r="2312" spans="7:15" x14ac:dyDescent="0.3">
      <c r="G2312" s="6" t="s">
        <v>19</v>
      </c>
      <c r="H2312" s="6" t="s">
        <v>158</v>
      </c>
      <c r="N2312" s="6" t="s">
        <v>19</v>
      </c>
      <c r="O2312" s="6" t="s">
        <v>158</v>
      </c>
    </row>
    <row r="2313" spans="7:15" x14ac:dyDescent="0.3">
      <c r="G2313" s="7" t="s">
        <v>19</v>
      </c>
      <c r="H2313" s="7" t="s">
        <v>59</v>
      </c>
      <c r="N2313" s="7" t="s">
        <v>19</v>
      </c>
      <c r="O2313" s="7" t="s">
        <v>59</v>
      </c>
    </row>
    <row r="2314" spans="7:15" x14ac:dyDescent="0.3">
      <c r="G2314" s="6" t="s">
        <v>19</v>
      </c>
      <c r="H2314" s="6" t="s">
        <v>62</v>
      </c>
      <c r="N2314" s="6" t="s">
        <v>19</v>
      </c>
      <c r="O2314" s="6" t="s">
        <v>62</v>
      </c>
    </row>
    <row r="2315" spans="7:15" x14ac:dyDescent="0.3">
      <c r="G2315" s="7" t="s">
        <v>19</v>
      </c>
      <c r="H2315" s="7" t="s">
        <v>62</v>
      </c>
      <c r="N2315" s="7" t="s">
        <v>19</v>
      </c>
      <c r="O2315" s="7" t="s">
        <v>62</v>
      </c>
    </row>
    <row r="2316" spans="7:15" x14ac:dyDescent="0.3">
      <c r="G2316" s="6" t="s">
        <v>19</v>
      </c>
      <c r="H2316" s="6" t="s">
        <v>74</v>
      </c>
      <c r="N2316" s="6" t="s">
        <v>19</v>
      </c>
      <c r="O2316" s="6" t="s">
        <v>74</v>
      </c>
    </row>
    <row r="2317" spans="7:15" x14ac:dyDescent="0.3">
      <c r="G2317" s="7" t="s">
        <v>19</v>
      </c>
      <c r="H2317" s="7" t="s">
        <v>77</v>
      </c>
      <c r="N2317" s="7" t="s">
        <v>19</v>
      </c>
      <c r="O2317" s="7" t="s">
        <v>77</v>
      </c>
    </row>
    <row r="2318" spans="7:15" x14ac:dyDescent="0.3">
      <c r="G2318" s="6" t="s">
        <v>19</v>
      </c>
      <c r="H2318" s="6" t="s">
        <v>77</v>
      </c>
      <c r="N2318" s="6" t="s">
        <v>19</v>
      </c>
      <c r="O2318" s="6" t="s">
        <v>77</v>
      </c>
    </row>
    <row r="2319" spans="7:15" x14ac:dyDescent="0.3">
      <c r="G2319" s="7" t="s">
        <v>19</v>
      </c>
      <c r="H2319" s="7" t="s">
        <v>113</v>
      </c>
      <c r="N2319" s="7" t="s">
        <v>19</v>
      </c>
      <c r="O2319" s="7" t="s">
        <v>113</v>
      </c>
    </row>
    <row r="2320" spans="7:15" x14ac:dyDescent="0.3">
      <c r="G2320" s="6" t="s">
        <v>19</v>
      </c>
      <c r="H2320" s="6" t="s">
        <v>24</v>
      </c>
      <c r="N2320" s="6" t="s">
        <v>19</v>
      </c>
      <c r="O2320" s="6" t="s">
        <v>24</v>
      </c>
    </row>
    <row r="2321" spans="7:15" x14ac:dyDescent="0.3">
      <c r="G2321" s="7" t="s">
        <v>19</v>
      </c>
      <c r="H2321" s="7" t="s">
        <v>28</v>
      </c>
      <c r="N2321" s="7" t="s">
        <v>19</v>
      </c>
      <c r="O2321" s="7" t="s">
        <v>28</v>
      </c>
    </row>
    <row r="2322" spans="7:15" x14ac:dyDescent="0.3">
      <c r="G2322" s="6" t="s">
        <v>19</v>
      </c>
      <c r="H2322" s="6" t="s">
        <v>33</v>
      </c>
      <c r="N2322" s="6" t="s">
        <v>19</v>
      </c>
      <c r="O2322" s="6" t="s">
        <v>33</v>
      </c>
    </row>
    <row r="2323" spans="7:15" x14ac:dyDescent="0.3">
      <c r="G2323" s="7" t="s">
        <v>19</v>
      </c>
      <c r="H2323" s="7" t="s">
        <v>33</v>
      </c>
      <c r="N2323" s="7" t="s">
        <v>19</v>
      </c>
      <c r="O2323" s="7" t="s">
        <v>33</v>
      </c>
    </row>
    <row r="2324" spans="7:15" x14ac:dyDescent="0.3">
      <c r="G2324" s="6" t="s">
        <v>19</v>
      </c>
      <c r="H2324" s="6" t="s">
        <v>33</v>
      </c>
      <c r="N2324" s="6" t="s">
        <v>19</v>
      </c>
      <c r="O2324" s="6" t="s">
        <v>33</v>
      </c>
    </row>
    <row r="2325" spans="7:15" x14ac:dyDescent="0.3">
      <c r="G2325" s="7" t="s">
        <v>19</v>
      </c>
      <c r="H2325" s="7" t="s">
        <v>33</v>
      </c>
      <c r="N2325" s="7" t="s">
        <v>19</v>
      </c>
      <c r="O2325" s="7" t="s">
        <v>33</v>
      </c>
    </row>
    <row r="2326" spans="7:15" x14ac:dyDescent="0.3">
      <c r="G2326" s="6" t="s">
        <v>19</v>
      </c>
      <c r="H2326" s="6" t="s">
        <v>33</v>
      </c>
      <c r="N2326" s="6" t="s">
        <v>19</v>
      </c>
      <c r="O2326" s="6" t="s">
        <v>33</v>
      </c>
    </row>
    <row r="2327" spans="7:15" x14ac:dyDescent="0.3">
      <c r="G2327" s="7" t="s">
        <v>19</v>
      </c>
      <c r="H2327" s="7" t="s">
        <v>33</v>
      </c>
      <c r="N2327" s="7" t="s">
        <v>19</v>
      </c>
      <c r="O2327" s="7" t="s">
        <v>33</v>
      </c>
    </row>
    <row r="2328" spans="7:15" x14ac:dyDescent="0.3">
      <c r="G2328" s="6" t="s">
        <v>19</v>
      </c>
      <c r="H2328" s="6" t="s">
        <v>33</v>
      </c>
      <c r="N2328" s="6" t="s">
        <v>19</v>
      </c>
      <c r="O2328" s="6" t="s">
        <v>33</v>
      </c>
    </row>
    <row r="2329" spans="7:15" x14ac:dyDescent="0.3">
      <c r="G2329" s="7" t="s">
        <v>19</v>
      </c>
      <c r="H2329" s="7" t="s">
        <v>33</v>
      </c>
      <c r="N2329" s="7" t="s">
        <v>19</v>
      </c>
      <c r="O2329" s="7" t="s">
        <v>33</v>
      </c>
    </row>
    <row r="2330" spans="7:15" x14ac:dyDescent="0.3">
      <c r="G2330" s="6" t="s">
        <v>19</v>
      </c>
      <c r="H2330" s="6" t="s">
        <v>33</v>
      </c>
      <c r="N2330" s="6" t="s">
        <v>19</v>
      </c>
      <c r="O2330" s="6" t="s">
        <v>33</v>
      </c>
    </row>
    <row r="2331" spans="7:15" x14ac:dyDescent="0.3">
      <c r="G2331" s="7" t="s">
        <v>19</v>
      </c>
      <c r="H2331" s="7" t="s">
        <v>33</v>
      </c>
      <c r="N2331" s="7" t="s">
        <v>19</v>
      </c>
      <c r="O2331" s="7" t="s">
        <v>33</v>
      </c>
    </row>
    <row r="2332" spans="7:15" x14ac:dyDescent="0.3">
      <c r="G2332" s="6" t="s">
        <v>19</v>
      </c>
      <c r="H2332" s="6" t="s">
        <v>186</v>
      </c>
      <c r="N2332" s="6" t="s">
        <v>19</v>
      </c>
      <c r="O2332" s="6" t="s">
        <v>186</v>
      </c>
    </row>
    <row r="2333" spans="7:15" x14ac:dyDescent="0.3">
      <c r="G2333" s="7" t="s">
        <v>19</v>
      </c>
      <c r="H2333" s="7" t="s">
        <v>186</v>
      </c>
      <c r="N2333" s="7" t="s">
        <v>19</v>
      </c>
      <c r="O2333" s="7" t="s">
        <v>186</v>
      </c>
    </row>
    <row r="2334" spans="7:15" x14ac:dyDescent="0.3">
      <c r="G2334" s="6" t="s">
        <v>19</v>
      </c>
      <c r="H2334" s="6" t="s">
        <v>98</v>
      </c>
      <c r="N2334" s="6" t="s">
        <v>19</v>
      </c>
      <c r="O2334" s="6" t="s">
        <v>98</v>
      </c>
    </row>
    <row r="2335" spans="7:15" x14ac:dyDescent="0.3">
      <c r="G2335" s="7" t="s">
        <v>19</v>
      </c>
      <c r="H2335" s="7" t="s">
        <v>55</v>
      </c>
      <c r="N2335" s="7" t="s">
        <v>19</v>
      </c>
      <c r="O2335" s="7" t="s">
        <v>55</v>
      </c>
    </row>
    <row r="2336" spans="7:15" x14ac:dyDescent="0.3">
      <c r="G2336" s="6" t="s">
        <v>19</v>
      </c>
      <c r="H2336" s="6" t="s">
        <v>62</v>
      </c>
      <c r="N2336" s="6" t="s">
        <v>19</v>
      </c>
      <c r="O2336" s="6" t="s">
        <v>62</v>
      </c>
    </row>
    <row r="2337" spans="7:15" x14ac:dyDescent="0.3">
      <c r="G2337" s="7" t="s">
        <v>19</v>
      </c>
      <c r="H2337" s="7" t="s">
        <v>62</v>
      </c>
      <c r="N2337" s="7" t="s">
        <v>19</v>
      </c>
      <c r="O2337" s="7" t="s">
        <v>62</v>
      </c>
    </row>
    <row r="2338" spans="7:15" x14ac:dyDescent="0.3">
      <c r="G2338" s="6" t="s">
        <v>19</v>
      </c>
      <c r="H2338" s="6" t="s">
        <v>103</v>
      </c>
      <c r="N2338" s="6" t="s">
        <v>19</v>
      </c>
      <c r="O2338" s="6" t="s">
        <v>103</v>
      </c>
    </row>
    <row r="2339" spans="7:15" x14ac:dyDescent="0.3">
      <c r="G2339" s="7" t="s">
        <v>19</v>
      </c>
      <c r="H2339" s="7" t="s">
        <v>77</v>
      </c>
      <c r="N2339" s="7" t="s">
        <v>19</v>
      </c>
      <c r="O2339" s="7" t="s">
        <v>77</v>
      </c>
    </row>
    <row r="2340" spans="7:15" x14ac:dyDescent="0.3">
      <c r="G2340" s="6" t="s">
        <v>19</v>
      </c>
      <c r="H2340" s="6" t="s">
        <v>77</v>
      </c>
      <c r="N2340" s="6" t="s">
        <v>19</v>
      </c>
      <c r="O2340" s="6" t="s">
        <v>77</v>
      </c>
    </row>
    <row r="2341" spans="7:15" x14ac:dyDescent="0.3">
      <c r="G2341" s="7" t="s">
        <v>19</v>
      </c>
      <c r="H2341" s="7" t="s">
        <v>77</v>
      </c>
      <c r="N2341" s="7" t="s">
        <v>19</v>
      </c>
      <c r="O2341" s="7" t="s">
        <v>77</v>
      </c>
    </row>
    <row r="2342" spans="7:15" x14ac:dyDescent="0.3">
      <c r="G2342" s="6" t="s">
        <v>19</v>
      </c>
      <c r="H2342" s="6" t="s">
        <v>77</v>
      </c>
      <c r="N2342" s="6" t="s">
        <v>19</v>
      </c>
      <c r="O2342" s="6" t="s">
        <v>77</v>
      </c>
    </row>
    <row r="2343" spans="7:15" x14ac:dyDescent="0.3">
      <c r="G2343" s="7" t="s">
        <v>19</v>
      </c>
      <c r="H2343" s="7" t="s">
        <v>77</v>
      </c>
      <c r="N2343" s="7" t="s">
        <v>19</v>
      </c>
      <c r="O2343" s="7" t="s">
        <v>77</v>
      </c>
    </row>
    <row r="2344" spans="7:15" x14ac:dyDescent="0.3">
      <c r="G2344" s="6" t="s">
        <v>19</v>
      </c>
      <c r="H2344" s="6" t="s">
        <v>77</v>
      </c>
      <c r="N2344" s="6" t="s">
        <v>19</v>
      </c>
      <c r="O2344" s="6" t="s">
        <v>77</v>
      </c>
    </row>
    <row r="2345" spans="7:15" x14ac:dyDescent="0.3">
      <c r="G2345" s="7" t="s">
        <v>19</v>
      </c>
      <c r="H2345" s="7" t="s">
        <v>292</v>
      </c>
      <c r="N2345" s="7" t="s">
        <v>19</v>
      </c>
      <c r="O2345" s="7" t="s">
        <v>292</v>
      </c>
    </row>
    <row r="2346" spans="7:15" x14ac:dyDescent="0.3">
      <c r="G2346" s="6" t="s">
        <v>19</v>
      </c>
      <c r="H2346" s="6" t="s">
        <v>115</v>
      </c>
      <c r="N2346" s="6" t="s">
        <v>19</v>
      </c>
      <c r="O2346" s="6" t="s">
        <v>115</v>
      </c>
    </row>
    <row r="2347" spans="7:15" x14ac:dyDescent="0.3">
      <c r="G2347" s="7" t="s">
        <v>19</v>
      </c>
      <c r="H2347" s="7" t="s">
        <v>641</v>
      </c>
      <c r="N2347" s="7" t="s">
        <v>19</v>
      </c>
      <c r="O2347" s="7" t="s">
        <v>641</v>
      </c>
    </row>
    <row r="2348" spans="7:15" x14ac:dyDescent="0.3">
      <c r="G2348" s="6" t="s">
        <v>19</v>
      </c>
      <c r="H2348" s="6" t="s">
        <v>967</v>
      </c>
      <c r="N2348" s="6" t="s">
        <v>19</v>
      </c>
      <c r="O2348" s="6" t="s">
        <v>967</v>
      </c>
    </row>
    <row r="2349" spans="7:15" x14ac:dyDescent="0.3">
      <c r="G2349" s="7" t="s">
        <v>19</v>
      </c>
      <c r="H2349" s="7" t="s">
        <v>24</v>
      </c>
      <c r="N2349" s="7" t="s">
        <v>19</v>
      </c>
      <c r="O2349" s="7" t="s">
        <v>24</v>
      </c>
    </row>
    <row r="2350" spans="7:15" x14ac:dyDescent="0.3">
      <c r="G2350" s="6" t="s">
        <v>19</v>
      </c>
      <c r="H2350" s="6" t="s">
        <v>24</v>
      </c>
      <c r="N2350" s="6" t="s">
        <v>19</v>
      </c>
      <c r="O2350" s="6" t="s">
        <v>24</v>
      </c>
    </row>
    <row r="2351" spans="7:15" x14ac:dyDescent="0.3">
      <c r="G2351" s="7" t="s">
        <v>19</v>
      </c>
      <c r="H2351" s="7" t="s">
        <v>24</v>
      </c>
      <c r="N2351" s="7" t="s">
        <v>19</v>
      </c>
      <c r="O2351" s="7" t="s">
        <v>24</v>
      </c>
    </row>
    <row r="2352" spans="7:15" x14ac:dyDescent="0.3">
      <c r="G2352" s="6" t="s">
        <v>19</v>
      </c>
      <c r="H2352" s="6" t="s">
        <v>28</v>
      </c>
      <c r="N2352" s="6" t="s">
        <v>19</v>
      </c>
      <c r="O2352" s="6" t="s">
        <v>28</v>
      </c>
    </row>
    <row r="2353" spans="7:15" x14ac:dyDescent="0.3">
      <c r="G2353" s="7" t="s">
        <v>19</v>
      </c>
      <c r="H2353" s="7" t="s">
        <v>147</v>
      </c>
      <c r="N2353" s="7" t="s">
        <v>19</v>
      </c>
      <c r="O2353" s="7" t="s">
        <v>147</v>
      </c>
    </row>
    <row r="2354" spans="7:15" x14ac:dyDescent="0.3">
      <c r="G2354" s="6" t="s">
        <v>19</v>
      </c>
      <c r="H2354" s="6" t="s">
        <v>33</v>
      </c>
      <c r="N2354" s="6" t="s">
        <v>19</v>
      </c>
      <c r="O2354" s="6" t="s">
        <v>33</v>
      </c>
    </row>
    <row r="2355" spans="7:15" x14ac:dyDescent="0.3">
      <c r="G2355" s="7" t="s">
        <v>19</v>
      </c>
      <c r="H2355" s="7" t="s">
        <v>33</v>
      </c>
      <c r="N2355" s="7" t="s">
        <v>19</v>
      </c>
      <c r="O2355" s="7" t="s">
        <v>33</v>
      </c>
    </row>
    <row r="2356" spans="7:15" x14ac:dyDescent="0.3">
      <c r="G2356" s="6" t="s">
        <v>19</v>
      </c>
      <c r="H2356" s="6" t="s">
        <v>33</v>
      </c>
      <c r="N2356" s="6" t="s">
        <v>19</v>
      </c>
      <c r="O2356" s="6" t="s">
        <v>33</v>
      </c>
    </row>
    <row r="2357" spans="7:15" x14ac:dyDescent="0.3">
      <c r="G2357" s="7" t="s">
        <v>19</v>
      </c>
      <c r="H2357" s="7" t="s">
        <v>33</v>
      </c>
      <c r="N2357" s="7" t="s">
        <v>19</v>
      </c>
      <c r="O2357" s="7" t="s">
        <v>33</v>
      </c>
    </row>
    <row r="2358" spans="7:15" x14ac:dyDescent="0.3">
      <c r="G2358" s="6" t="s">
        <v>19</v>
      </c>
      <c r="H2358" s="6" t="s">
        <v>33</v>
      </c>
      <c r="N2358" s="6" t="s">
        <v>19</v>
      </c>
      <c r="O2358" s="6" t="s">
        <v>33</v>
      </c>
    </row>
    <row r="2359" spans="7:15" x14ac:dyDescent="0.3">
      <c r="G2359" s="7" t="s">
        <v>19</v>
      </c>
      <c r="H2359" s="7" t="s">
        <v>33</v>
      </c>
      <c r="N2359" s="7" t="s">
        <v>19</v>
      </c>
      <c r="O2359" s="7" t="s">
        <v>33</v>
      </c>
    </row>
    <row r="2360" spans="7:15" x14ac:dyDescent="0.3">
      <c r="G2360" s="6" t="s">
        <v>19</v>
      </c>
      <c r="H2360" s="6" t="s">
        <v>186</v>
      </c>
      <c r="N2360" s="6" t="s">
        <v>19</v>
      </c>
      <c r="O2360" s="6" t="s">
        <v>186</v>
      </c>
    </row>
    <row r="2361" spans="7:15" x14ac:dyDescent="0.3">
      <c r="G2361" s="7" t="s">
        <v>19</v>
      </c>
      <c r="H2361" s="7" t="s">
        <v>188</v>
      </c>
      <c r="N2361" s="7" t="s">
        <v>19</v>
      </c>
      <c r="O2361" s="7" t="s">
        <v>188</v>
      </c>
    </row>
    <row r="2362" spans="7:15" x14ac:dyDescent="0.3">
      <c r="G2362" s="6" t="s">
        <v>19</v>
      </c>
      <c r="H2362" s="6" t="s">
        <v>188</v>
      </c>
      <c r="N2362" s="6" t="s">
        <v>19</v>
      </c>
      <c r="O2362" s="6" t="s">
        <v>188</v>
      </c>
    </row>
    <row r="2363" spans="7:15" x14ac:dyDescent="0.3">
      <c r="G2363" s="7" t="s">
        <v>19</v>
      </c>
      <c r="H2363" s="7" t="s">
        <v>52</v>
      </c>
      <c r="N2363" s="7" t="s">
        <v>19</v>
      </c>
      <c r="O2363" s="7" t="s">
        <v>52</v>
      </c>
    </row>
    <row r="2364" spans="7:15" x14ac:dyDescent="0.3">
      <c r="G2364" s="6" t="s">
        <v>19</v>
      </c>
      <c r="H2364" s="6" t="s">
        <v>55</v>
      </c>
      <c r="N2364" s="6" t="s">
        <v>19</v>
      </c>
      <c r="O2364" s="6" t="s">
        <v>55</v>
      </c>
    </row>
    <row r="2365" spans="7:15" x14ac:dyDescent="0.3">
      <c r="G2365" s="7" t="s">
        <v>19</v>
      </c>
      <c r="H2365" s="7" t="s">
        <v>62</v>
      </c>
      <c r="N2365" s="7" t="s">
        <v>19</v>
      </c>
      <c r="O2365" s="7" t="s">
        <v>62</v>
      </c>
    </row>
    <row r="2366" spans="7:15" x14ac:dyDescent="0.3">
      <c r="G2366" s="6" t="s">
        <v>19</v>
      </c>
      <c r="H2366" s="6" t="s">
        <v>62</v>
      </c>
      <c r="N2366" s="6" t="s">
        <v>19</v>
      </c>
      <c r="O2366" s="6" t="s">
        <v>62</v>
      </c>
    </row>
    <row r="2367" spans="7:15" x14ac:dyDescent="0.3">
      <c r="G2367" s="7" t="s">
        <v>19</v>
      </c>
      <c r="H2367" s="7" t="s">
        <v>62</v>
      </c>
      <c r="N2367" s="7" t="s">
        <v>19</v>
      </c>
      <c r="O2367" s="7" t="s">
        <v>62</v>
      </c>
    </row>
    <row r="2368" spans="7:15" x14ac:dyDescent="0.3">
      <c r="G2368" s="6" t="s">
        <v>19</v>
      </c>
      <c r="H2368" s="6" t="s">
        <v>62</v>
      </c>
      <c r="N2368" s="6" t="s">
        <v>19</v>
      </c>
      <c r="O2368" s="6" t="s">
        <v>62</v>
      </c>
    </row>
    <row r="2369" spans="7:15" x14ac:dyDescent="0.3">
      <c r="G2369" s="7" t="s">
        <v>19</v>
      </c>
      <c r="H2369" s="7" t="s">
        <v>72</v>
      </c>
      <c r="N2369" s="7" t="s">
        <v>19</v>
      </c>
      <c r="O2369" s="7" t="s">
        <v>72</v>
      </c>
    </row>
    <row r="2370" spans="7:15" x14ac:dyDescent="0.3">
      <c r="G2370" s="6" t="s">
        <v>19</v>
      </c>
      <c r="H2370" s="6" t="s">
        <v>72</v>
      </c>
      <c r="N2370" s="6" t="s">
        <v>19</v>
      </c>
      <c r="O2370" s="6" t="s">
        <v>72</v>
      </c>
    </row>
    <row r="2371" spans="7:15" x14ac:dyDescent="0.3">
      <c r="G2371" s="7" t="s">
        <v>19</v>
      </c>
      <c r="H2371" s="7" t="s">
        <v>74</v>
      </c>
      <c r="N2371" s="7" t="s">
        <v>19</v>
      </c>
      <c r="O2371" s="7" t="s">
        <v>74</v>
      </c>
    </row>
    <row r="2372" spans="7:15" x14ac:dyDescent="0.3">
      <c r="G2372" s="6" t="s">
        <v>19</v>
      </c>
      <c r="H2372" s="6" t="s">
        <v>77</v>
      </c>
      <c r="N2372" s="6" t="s">
        <v>19</v>
      </c>
      <c r="O2372" s="6" t="s">
        <v>77</v>
      </c>
    </row>
    <row r="2373" spans="7:15" x14ac:dyDescent="0.3">
      <c r="G2373" s="7" t="s">
        <v>19</v>
      </c>
      <c r="H2373" s="7" t="s">
        <v>77</v>
      </c>
      <c r="N2373" s="7" t="s">
        <v>19</v>
      </c>
      <c r="O2373" s="7" t="s">
        <v>77</v>
      </c>
    </row>
    <row r="2374" spans="7:15" x14ac:dyDescent="0.3">
      <c r="G2374" s="6" t="s">
        <v>19</v>
      </c>
      <c r="H2374" s="6" t="s">
        <v>110</v>
      </c>
      <c r="N2374" s="6" t="s">
        <v>19</v>
      </c>
      <c r="O2374" s="6" t="s">
        <v>110</v>
      </c>
    </row>
    <row r="2375" spans="7:15" x14ac:dyDescent="0.3">
      <c r="G2375" s="7" t="s">
        <v>19</v>
      </c>
      <c r="H2375" s="7" t="s">
        <v>292</v>
      </c>
      <c r="N2375" s="7" t="s">
        <v>19</v>
      </c>
      <c r="O2375" s="7" t="s">
        <v>292</v>
      </c>
    </row>
    <row r="2376" spans="7:15" x14ac:dyDescent="0.3">
      <c r="G2376" s="6" t="s">
        <v>19</v>
      </c>
      <c r="H2376" s="6" t="s">
        <v>113</v>
      </c>
      <c r="N2376" s="6" t="s">
        <v>19</v>
      </c>
      <c r="O2376" s="6" t="s">
        <v>113</v>
      </c>
    </row>
    <row r="2377" spans="7:15" x14ac:dyDescent="0.3">
      <c r="G2377" s="7" t="s">
        <v>19</v>
      </c>
      <c r="H2377" s="7" t="s">
        <v>82</v>
      </c>
      <c r="N2377" s="7" t="s">
        <v>19</v>
      </c>
      <c r="O2377" s="7" t="s">
        <v>82</v>
      </c>
    </row>
    <row r="2378" spans="7:15" x14ac:dyDescent="0.3">
      <c r="G2378" s="6" t="s">
        <v>19</v>
      </c>
      <c r="H2378" s="6" t="s">
        <v>1383</v>
      </c>
      <c r="N2378" s="6" t="s">
        <v>19</v>
      </c>
      <c r="O2378" s="6" t="s">
        <v>1383</v>
      </c>
    </row>
    <row r="2379" spans="7:15" x14ac:dyDescent="0.3">
      <c r="G2379" s="7" t="s">
        <v>19</v>
      </c>
      <c r="H2379" s="7" t="s">
        <v>28</v>
      </c>
      <c r="N2379" s="7" t="s">
        <v>19</v>
      </c>
      <c r="O2379" s="7" t="s">
        <v>28</v>
      </c>
    </row>
    <row r="2380" spans="7:15" x14ac:dyDescent="0.3">
      <c r="G2380" s="6" t="s">
        <v>19</v>
      </c>
      <c r="H2380" s="6" t="s">
        <v>28</v>
      </c>
      <c r="N2380" s="6" t="s">
        <v>19</v>
      </c>
      <c r="O2380" s="6" t="s">
        <v>28</v>
      </c>
    </row>
    <row r="2381" spans="7:15" x14ac:dyDescent="0.3">
      <c r="G2381" s="7" t="s">
        <v>19</v>
      </c>
      <c r="H2381" s="7" t="s">
        <v>587</v>
      </c>
      <c r="N2381" s="7" t="s">
        <v>19</v>
      </c>
      <c r="O2381" s="7" t="s">
        <v>587</v>
      </c>
    </row>
    <row r="2382" spans="7:15" x14ac:dyDescent="0.3">
      <c r="G2382" s="6" t="s">
        <v>19</v>
      </c>
      <c r="H2382" s="6" t="s">
        <v>147</v>
      </c>
      <c r="N2382" s="6" t="s">
        <v>19</v>
      </c>
      <c r="O2382" s="6" t="s">
        <v>147</v>
      </c>
    </row>
    <row r="2383" spans="7:15" x14ac:dyDescent="0.3">
      <c r="G2383" s="7" t="s">
        <v>19</v>
      </c>
      <c r="H2383" s="7" t="s">
        <v>949</v>
      </c>
      <c r="N2383" s="7" t="s">
        <v>19</v>
      </c>
      <c r="O2383" s="7" t="s">
        <v>949</v>
      </c>
    </row>
    <row r="2384" spans="7:15" x14ac:dyDescent="0.3">
      <c r="G2384" s="6" t="s">
        <v>19</v>
      </c>
      <c r="H2384" s="6" t="s">
        <v>33</v>
      </c>
      <c r="N2384" s="6" t="s">
        <v>19</v>
      </c>
      <c r="O2384" s="6" t="s">
        <v>33</v>
      </c>
    </row>
    <row r="2385" spans="7:15" x14ac:dyDescent="0.3">
      <c r="G2385" s="7" t="s">
        <v>19</v>
      </c>
      <c r="H2385" s="7" t="s">
        <v>33</v>
      </c>
      <c r="N2385" s="7" t="s">
        <v>19</v>
      </c>
      <c r="O2385" s="7" t="s">
        <v>33</v>
      </c>
    </row>
    <row r="2386" spans="7:15" x14ac:dyDescent="0.3">
      <c r="G2386" s="6" t="s">
        <v>19</v>
      </c>
      <c r="H2386" s="6" t="s">
        <v>33</v>
      </c>
      <c r="N2386" s="6" t="s">
        <v>19</v>
      </c>
      <c r="O2386" s="6" t="s">
        <v>33</v>
      </c>
    </row>
    <row r="2387" spans="7:15" x14ac:dyDescent="0.3">
      <c r="G2387" s="7" t="s">
        <v>19</v>
      </c>
      <c r="H2387" s="7" t="s">
        <v>33</v>
      </c>
      <c r="N2387" s="7" t="s">
        <v>19</v>
      </c>
      <c r="O2387" s="7" t="s">
        <v>33</v>
      </c>
    </row>
    <row r="2388" spans="7:15" x14ac:dyDescent="0.3">
      <c r="G2388" s="6" t="s">
        <v>19</v>
      </c>
      <c r="H2388" s="6" t="s">
        <v>33</v>
      </c>
      <c r="N2388" s="6" t="s">
        <v>19</v>
      </c>
      <c r="O2388" s="6" t="s">
        <v>33</v>
      </c>
    </row>
    <row r="2389" spans="7:15" x14ac:dyDescent="0.3">
      <c r="G2389" s="7" t="s">
        <v>19</v>
      </c>
      <c r="H2389" s="7" t="s">
        <v>33</v>
      </c>
      <c r="N2389" s="7" t="s">
        <v>19</v>
      </c>
      <c r="O2389" s="7" t="s">
        <v>33</v>
      </c>
    </row>
    <row r="2390" spans="7:15" x14ac:dyDescent="0.3">
      <c r="G2390" s="6" t="s">
        <v>19</v>
      </c>
      <c r="H2390" s="6" t="s">
        <v>33</v>
      </c>
      <c r="N2390" s="6" t="s">
        <v>19</v>
      </c>
      <c r="O2390" s="6" t="s">
        <v>33</v>
      </c>
    </row>
    <row r="2391" spans="7:15" x14ac:dyDescent="0.3">
      <c r="G2391" s="7" t="s">
        <v>19</v>
      </c>
      <c r="H2391" s="7" t="s">
        <v>33</v>
      </c>
      <c r="N2391" s="7" t="s">
        <v>19</v>
      </c>
      <c r="O2391" s="7" t="s">
        <v>33</v>
      </c>
    </row>
    <row r="2392" spans="7:15" x14ac:dyDescent="0.3">
      <c r="G2392" s="6" t="s">
        <v>19</v>
      </c>
      <c r="H2392" s="6" t="s">
        <v>33</v>
      </c>
      <c r="N2392" s="6" t="s">
        <v>19</v>
      </c>
      <c r="O2392" s="6" t="s">
        <v>33</v>
      </c>
    </row>
    <row r="2393" spans="7:15" x14ac:dyDescent="0.3">
      <c r="G2393" s="7" t="s">
        <v>19</v>
      </c>
      <c r="H2393" s="7" t="s">
        <v>33</v>
      </c>
      <c r="N2393" s="7" t="s">
        <v>19</v>
      </c>
      <c r="O2393" s="7" t="s">
        <v>33</v>
      </c>
    </row>
    <row r="2394" spans="7:15" x14ac:dyDescent="0.3">
      <c r="G2394" s="6" t="s">
        <v>19</v>
      </c>
      <c r="H2394" s="6" t="s">
        <v>33</v>
      </c>
      <c r="N2394" s="6" t="s">
        <v>19</v>
      </c>
      <c r="O2394" s="6" t="s">
        <v>33</v>
      </c>
    </row>
    <row r="2395" spans="7:15" x14ac:dyDescent="0.3">
      <c r="G2395" s="7" t="s">
        <v>19</v>
      </c>
      <c r="H2395" s="7" t="s">
        <v>33</v>
      </c>
      <c r="N2395" s="7" t="s">
        <v>19</v>
      </c>
      <c r="O2395" s="7" t="s">
        <v>33</v>
      </c>
    </row>
    <row r="2396" spans="7:15" x14ac:dyDescent="0.3">
      <c r="G2396" s="6" t="s">
        <v>19</v>
      </c>
      <c r="H2396" s="6" t="s">
        <v>33</v>
      </c>
      <c r="N2396" s="6" t="s">
        <v>19</v>
      </c>
      <c r="O2396" s="6" t="s">
        <v>33</v>
      </c>
    </row>
    <row r="2397" spans="7:15" x14ac:dyDescent="0.3">
      <c r="G2397" s="7" t="s">
        <v>19</v>
      </c>
      <c r="H2397" s="7" t="s">
        <v>33</v>
      </c>
      <c r="N2397" s="7" t="s">
        <v>19</v>
      </c>
      <c r="O2397" s="7" t="s">
        <v>33</v>
      </c>
    </row>
    <row r="2398" spans="7:15" x14ac:dyDescent="0.3">
      <c r="G2398" s="6" t="s">
        <v>19</v>
      </c>
      <c r="H2398" s="6" t="s">
        <v>33</v>
      </c>
      <c r="N2398" s="6" t="s">
        <v>19</v>
      </c>
      <c r="O2398" s="6" t="s">
        <v>33</v>
      </c>
    </row>
    <row r="2399" spans="7:15" x14ac:dyDescent="0.3">
      <c r="G2399" s="7" t="s">
        <v>19</v>
      </c>
      <c r="H2399" s="7" t="s">
        <v>33</v>
      </c>
      <c r="N2399" s="7" t="s">
        <v>19</v>
      </c>
      <c r="O2399" s="7" t="s">
        <v>33</v>
      </c>
    </row>
    <row r="2400" spans="7:15" x14ac:dyDescent="0.3">
      <c r="G2400" s="6" t="s">
        <v>19</v>
      </c>
      <c r="H2400" s="6" t="s">
        <v>33</v>
      </c>
      <c r="N2400" s="6" t="s">
        <v>19</v>
      </c>
      <c r="O2400" s="6" t="s">
        <v>33</v>
      </c>
    </row>
    <row r="2401" spans="7:15" x14ac:dyDescent="0.3">
      <c r="G2401" s="7" t="s">
        <v>19</v>
      </c>
      <c r="H2401" s="7" t="s">
        <v>52</v>
      </c>
      <c r="N2401" s="7" t="s">
        <v>19</v>
      </c>
      <c r="O2401" s="7" t="s">
        <v>52</v>
      </c>
    </row>
    <row r="2402" spans="7:15" x14ac:dyDescent="0.3">
      <c r="G2402" s="6" t="s">
        <v>19</v>
      </c>
      <c r="H2402" s="6" t="s">
        <v>52</v>
      </c>
      <c r="N2402" s="6" t="s">
        <v>19</v>
      </c>
      <c r="O2402" s="6" t="s">
        <v>52</v>
      </c>
    </row>
    <row r="2403" spans="7:15" x14ac:dyDescent="0.3">
      <c r="G2403" s="7" t="s">
        <v>19</v>
      </c>
      <c r="H2403" s="7" t="s">
        <v>55</v>
      </c>
      <c r="N2403" s="7" t="s">
        <v>19</v>
      </c>
      <c r="O2403" s="7" t="s">
        <v>55</v>
      </c>
    </row>
    <row r="2404" spans="7:15" x14ac:dyDescent="0.3">
      <c r="G2404" s="6" t="s">
        <v>19</v>
      </c>
      <c r="H2404" s="6" t="s">
        <v>59</v>
      </c>
      <c r="N2404" s="6" t="s">
        <v>19</v>
      </c>
      <c r="O2404" s="6" t="s">
        <v>59</v>
      </c>
    </row>
    <row r="2405" spans="7:15" x14ac:dyDescent="0.3">
      <c r="G2405" s="7" t="s">
        <v>19</v>
      </c>
      <c r="H2405" s="7" t="s">
        <v>62</v>
      </c>
      <c r="N2405" s="7" t="s">
        <v>19</v>
      </c>
      <c r="O2405" s="7" t="s">
        <v>62</v>
      </c>
    </row>
    <row r="2406" spans="7:15" x14ac:dyDescent="0.3">
      <c r="G2406" s="6" t="s">
        <v>19</v>
      </c>
      <c r="H2406" s="6" t="s">
        <v>62</v>
      </c>
      <c r="N2406" s="6" t="s">
        <v>19</v>
      </c>
      <c r="O2406" s="6" t="s">
        <v>62</v>
      </c>
    </row>
    <row r="2407" spans="7:15" x14ac:dyDescent="0.3">
      <c r="G2407" s="7" t="s">
        <v>19</v>
      </c>
      <c r="H2407" s="7" t="s">
        <v>77</v>
      </c>
      <c r="N2407" s="7" t="s">
        <v>19</v>
      </c>
      <c r="O2407" s="7" t="s">
        <v>77</v>
      </c>
    </row>
    <row r="2408" spans="7:15" x14ac:dyDescent="0.3">
      <c r="G2408" s="6" t="s">
        <v>19</v>
      </c>
      <c r="H2408" s="6" t="s">
        <v>108</v>
      </c>
      <c r="N2408" s="6" t="s">
        <v>19</v>
      </c>
      <c r="O2408" s="6" t="s">
        <v>108</v>
      </c>
    </row>
    <row r="2409" spans="7:15" x14ac:dyDescent="0.3">
      <c r="G2409" s="7" t="s">
        <v>19</v>
      </c>
      <c r="H2409" s="7" t="s">
        <v>110</v>
      </c>
      <c r="N2409" s="7" t="s">
        <v>19</v>
      </c>
      <c r="O2409" s="7" t="s">
        <v>110</v>
      </c>
    </row>
    <row r="2410" spans="7:15" x14ac:dyDescent="0.3">
      <c r="G2410" s="6" t="s">
        <v>19</v>
      </c>
      <c r="H2410" s="6" t="s">
        <v>110</v>
      </c>
      <c r="N2410" s="6" t="s">
        <v>19</v>
      </c>
      <c r="O2410" s="6" t="s">
        <v>110</v>
      </c>
    </row>
    <row r="2411" spans="7:15" x14ac:dyDescent="0.3">
      <c r="G2411" s="7" t="s">
        <v>19</v>
      </c>
      <c r="H2411" s="7" t="s">
        <v>110</v>
      </c>
      <c r="N2411" s="7" t="s">
        <v>19</v>
      </c>
      <c r="O2411" s="7" t="s">
        <v>110</v>
      </c>
    </row>
    <row r="2412" spans="7:15" x14ac:dyDescent="0.3">
      <c r="G2412" s="6" t="s">
        <v>19</v>
      </c>
      <c r="H2412" s="6" t="s">
        <v>113</v>
      </c>
      <c r="N2412" s="6" t="s">
        <v>19</v>
      </c>
      <c r="O2412" s="6" t="s">
        <v>113</v>
      </c>
    </row>
    <row r="2413" spans="7:15" x14ac:dyDescent="0.3">
      <c r="G2413" s="7" t="s">
        <v>19</v>
      </c>
      <c r="H2413" s="7" t="s">
        <v>28</v>
      </c>
      <c r="N2413" s="7" t="s">
        <v>19</v>
      </c>
      <c r="O2413" s="7" t="s">
        <v>28</v>
      </c>
    </row>
    <row r="2414" spans="7:15" x14ac:dyDescent="0.3">
      <c r="G2414" s="6" t="s">
        <v>19</v>
      </c>
      <c r="H2414" s="6" t="s">
        <v>33</v>
      </c>
      <c r="N2414" s="6" t="s">
        <v>19</v>
      </c>
      <c r="O2414" s="6" t="s">
        <v>33</v>
      </c>
    </row>
    <row r="2415" spans="7:15" x14ac:dyDescent="0.3">
      <c r="G2415" s="7" t="s">
        <v>19</v>
      </c>
      <c r="H2415" s="7" t="s">
        <v>33</v>
      </c>
      <c r="N2415" s="7" t="s">
        <v>19</v>
      </c>
      <c r="O2415" s="7" t="s">
        <v>33</v>
      </c>
    </row>
    <row r="2416" spans="7:15" x14ac:dyDescent="0.3">
      <c r="G2416" s="6" t="s">
        <v>19</v>
      </c>
      <c r="H2416" s="6" t="s">
        <v>33</v>
      </c>
      <c r="N2416" s="6" t="s">
        <v>19</v>
      </c>
      <c r="O2416" s="6" t="s">
        <v>33</v>
      </c>
    </row>
    <row r="2417" spans="7:15" x14ac:dyDescent="0.3">
      <c r="G2417" s="7" t="s">
        <v>19</v>
      </c>
      <c r="H2417" s="7" t="s">
        <v>33</v>
      </c>
      <c r="N2417" s="7" t="s">
        <v>19</v>
      </c>
      <c r="O2417" s="7" t="s">
        <v>33</v>
      </c>
    </row>
    <row r="2418" spans="7:15" x14ac:dyDescent="0.3">
      <c r="G2418" s="6" t="s">
        <v>19</v>
      </c>
      <c r="H2418" s="6" t="s">
        <v>33</v>
      </c>
      <c r="N2418" s="6" t="s">
        <v>19</v>
      </c>
      <c r="O2418" s="6" t="s">
        <v>33</v>
      </c>
    </row>
    <row r="2419" spans="7:15" x14ac:dyDescent="0.3">
      <c r="G2419" s="7" t="s">
        <v>19</v>
      </c>
      <c r="H2419" s="7" t="s">
        <v>33</v>
      </c>
      <c r="N2419" s="7" t="s">
        <v>19</v>
      </c>
      <c r="O2419" s="7" t="s">
        <v>33</v>
      </c>
    </row>
    <row r="2420" spans="7:15" x14ac:dyDescent="0.3">
      <c r="G2420" s="6" t="s">
        <v>19</v>
      </c>
      <c r="H2420" s="6" t="s">
        <v>33</v>
      </c>
      <c r="N2420" s="6" t="s">
        <v>19</v>
      </c>
      <c r="O2420" s="6" t="s">
        <v>33</v>
      </c>
    </row>
    <row r="2421" spans="7:15" x14ac:dyDescent="0.3">
      <c r="G2421" s="7" t="s">
        <v>19</v>
      </c>
      <c r="H2421" s="7" t="s">
        <v>33</v>
      </c>
      <c r="N2421" s="7" t="s">
        <v>19</v>
      </c>
      <c r="O2421" s="7" t="s">
        <v>33</v>
      </c>
    </row>
    <row r="2422" spans="7:15" x14ac:dyDescent="0.3">
      <c r="G2422" s="6" t="s">
        <v>19</v>
      </c>
      <c r="H2422" s="6" t="s">
        <v>33</v>
      </c>
      <c r="N2422" s="6" t="s">
        <v>19</v>
      </c>
      <c r="O2422" s="6" t="s">
        <v>33</v>
      </c>
    </row>
    <row r="2423" spans="7:15" x14ac:dyDescent="0.3">
      <c r="G2423" s="7" t="s">
        <v>19</v>
      </c>
      <c r="H2423" s="7" t="s">
        <v>55</v>
      </c>
      <c r="N2423" s="7" t="s">
        <v>19</v>
      </c>
      <c r="O2423" s="7" t="s">
        <v>55</v>
      </c>
    </row>
    <row r="2424" spans="7:15" x14ac:dyDescent="0.3">
      <c r="G2424" s="6" t="s">
        <v>19</v>
      </c>
      <c r="H2424" s="6" t="s">
        <v>55</v>
      </c>
      <c r="N2424" s="6" t="s">
        <v>19</v>
      </c>
      <c r="O2424" s="6" t="s">
        <v>55</v>
      </c>
    </row>
    <row r="2425" spans="7:15" x14ac:dyDescent="0.3">
      <c r="G2425" s="7" t="s">
        <v>19</v>
      </c>
      <c r="H2425" s="7" t="s">
        <v>59</v>
      </c>
      <c r="N2425" s="7" t="s">
        <v>19</v>
      </c>
      <c r="O2425" s="7" t="s">
        <v>59</v>
      </c>
    </row>
    <row r="2426" spans="7:15" x14ac:dyDescent="0.3">
      <c r="G2426" s="6" t="s">
        <v>19</v>
      </c>
      <c r="H2426" s="6" t="s">
        <v>62</v>
      </c>
      <c r="N2426" s="6" t="s">
        <v>19</v>
      </c>
      <c r="O2426" s="6" t="s">
        <v>62</v>
      </c>
    </row>
    <row r="2427" spans="7:15" x14ac:dyDescent="0.3">
      <c r="G2427" s="7" t="s">
        <v>19</v>
      </c>
      <c r="H2427" s="7" t="s">
        <v>62</v>
      </c>
      <c r="N2427" s="7" t="s">
        <v>19</v>
      </c>
      <c r="O2427" s="7" t="s">
        <v>62</v>
      </c>
    </row>
    <row r="2428" spans="7:15" x14ac:dyDescent="0.3">
      <c r="G2428" s="6" t="s">
        <v>19</v>
      </c>
      <c r="H2428" s="6" t="s">
        <v>62</v>
      </c>
      <c r="N2428" s="6" t="s">
        <v>19</v>
      </c>
      <c r="O2428" s="6" t="s">
        <v>62</v>
      </c>
    </row>
    <row r="2429" spans="7:15" x14ac:dyDescent="0.3">
      <c r="G2429" s="7" t="s">
        <v>19</v>
      </c>
      <c r="H2429" s="7" t="s">
        <v>62</v>
      </c>
      <c r="N2429" s="7" t="s">
        <v>19</v>
      </c>
      <c r="O2429" s="7" t="s">
        <v>62</v>
      </c>
    </row>
    <row r="2430" spans="7:15" x14ac:dyDescent="0.3">
      <c r="G2430" s="6" t="s">
        <v>19</v>
      </c>
      <c r="H2430" s="6" t="s">
        <v>62</v>
      </c>
      <c r="N2430" s="6" t="s">
        <v>19</v>
      </c>
      <c r="O2430" s="6" t="s">
        <v>62</v>
      </c>
    </row>
    <row r="2431" spans="7:15" x14ac:dyDescent="0.3">
      <c r="G2431" s="7" t="s">
        <v>19</v>
      </c>
      <c r="H2431" s="7" t="s">
        <v>201</v>
      </c>
      <c r="N2431" s="7" t="s">
        <v>19</v>
      </c>
      <c r="O2431" s="7" t="s">
        <v>201</v>
      </c>
    </row>
    <row r="2432" spans="7:15" x14ac:dyDescent="0.3">
      <c r="G2432" s="6" t="s">
        <v>19</v>
      </c>
      <c r="H2432" s="6" t="s">
        <v>77</v>
      </c>
      <c r="N2432" s="6" t="s">
        <v>19</v>
      </c>
      <c r="O2432" s="6" t="s">
        <v>77</v>
      </c>
    </row>
    <row r="2433" spans="7:15" x14ac:dyDescent="0.3">
      <c r="G2433" s="7" t="s">
        <v>19</v>
      </c>
      <c r="H2433" s="7" t="s">
        <v>1116</v>
      </c>
      <c r="N2433" s="7" t="s">
        <v>19</v>
      </c>
      <c r="O2433" s="7" t="s">
        <v>1116</v>
      </c>
    </row>
    <row r="2434" spans="7:15" x14ac:dyDescent="0.3">
      <c r="G2434" s="6" t="s">
        <v>19</v>
      </c>
      <c r="H2434" s="6" t="s">
        <v>24</v>
      </c>
      <c r="N2434" s="6" t="s">
        <v>19</v>
      </c>
      <c r="O2434" s="6" t="s">
        <v>24</v>
      </c>
    </row>
    <row r="2435" spans="7:15" x14ac:dyDescent="0.3">
      <c r="G2435" s="7" t="s">
        <v>19</v>
      </c>
      <c r="H2435" s="7" t="s">
        <v>24</v>
      </c>
      <c r="N2435" s="7" t="s">
        <v>19</v>
      </c>
      <c r="O2435" s="7" t="s">
        <v>24</v>
      </c>
    </row>
    <row r="2436" spans="7:15" x14ac:dyDescent="0.3">
      <c r="G2436" s="6" t="s">
        <v>19</v>
      </c>
      <c r="H2436" s="6" t="s">
        <v>28</v>
      </c>
      <c r="N2436" s="6" t="s">
        <v>19</v>
      </c>
      <c r="O2436" s="6" t="s">
        <v>28</v>
      </c>
    </row>
    <row r="2437" spans="7:15" x14ac:dyDescent="0.3">
      <c r="G2437" s="7" t="s">
        <v>19</v>
      </c>
      <c r="H2437" s="7" t="s">
        <v>147</v>
      </c>
      <c r="N2437" s="7" t="s">
        <v>19</v>
      </c>
      <c r="O2437" s="7" t="s">
        <v>147</v>
      </c>
    </row>
    <row r="2438" spans="7:15" x14ac:dyDescent="0.3">
      <c r="G2438" s="6" t="s">
        <v>19</v>
      </c>
      <c r="H2438" s="6" t="s">
        <v>334</v>
      </c>
      <c r="N2438" s="6" t="s">
        <v>19</v>
      </c>
      <c r="O2438" s="6" t="s">
        <v>334</v>
      </c>
    </row>
    <row r="2439" spans="7:15" x14ac:dyDescent="0.3">
      <c r="G2439" s="7" t="s">
        <v>19</v>
      </c>
      <c r="H2439" s="7" t="s">
        <v>33</v>
      </c>
      <c r="N2439" s="7" t="s">
        <v>19</v>
      </c>
      <c r="O2439" s="7" t="s">
        <v>33</v>
      </c>
    </row>
    <row r="2440" spans="7:15" x14ac:dyDescent="0.3">
      <c r="G2440" s="6" t="s">
        <v>19</v>
      </c>
      <c r="H2440" s="6" t="s">
        <v>33</v>
      </c>
      <c r="N2440" s="6" t="s">
        <v>19</v>
      </c>
      <c r="O2440" s="6" t="s">
        <v>33</v>
      </c>
    </row>
    <row r="2441" spans="7:15" x14ac:dyDescent="0.3">
      <c r="G2441" s="7" t="s">
        <v>19</v>
      </c>
      <c r="H2441" s="7" t="s">
        <v>33</v>
      </c>
      <c r="N2441" s="7" t="s">
        <v>19</v>
      </c>
      <c r="O2441" s="7" t="s">
        <v>33</v>
      </c>
    </row>
    <row r="2442" spans="7:15" x14ac:dyDescent="0.3">
      <c r="G2442" s="6" t="s">
        <v>19</v>
      </c>
      <c r="H2442" s="6" t="s">
        <v>33</v>
      </c>
      <c r="N2442" s="6" t="s">
        <v>19</v>
      </c>
      <c r="O2442" s="6" t="s">
        <v>33</v>
      </c>
    </row>
    <row r="2443" spans="7:15" x14ac:dyDescent="0.3">
      <c r="G2443" s="7" t="s">
        <v>19</v>
      </c>
      <c r="H2443" s="7" t="s">
        <v>33</v>
      </c>
      <c r="N2443" s="7" t="s">
        <v>19</v>
      </c>
      <c r="O2443" s="7" t="s">
        <v>33</v>
      </c>
    </row>
    <row r="2444" spans="7:15" x14ac:dyDescent="0.3">
      <c r="G2444" s="6" t="s">
        <v>19</v>
      </c>
      <c r="H2444" s="6" t="s">
        <v>545</v>
      </c>
      <c r="N2444" s="6" t="s">
        <v>19</v>
      </c>
      <c r="O2444" s="6" t="s">
        <v>545</v>
      </c>
    </row>
    <row r="2445" spans="7:15" x14ac:dyDescent="0.3">
      <c r="G2445" s="7" t="s">
        <v>19</v>
      </c>
      <c r="H2445" s="7" t="s">
        <v>55</v>
      </c>
      <c r="N2445" s="7" t="s">
        <v>19</v>
      </c>
      <c r="O2445" s="7" t="s">
        <v>55</v>
      </c>
    </row>
    <row r="2446" spans="7:15" x14ac:dyDescent="0.3">
      <c r="G2446" s="6" t="s">
        <v>19</v>
      </c>
      <c r="H2446" s="6" t="s">
        <v>55</v>
      </c>
      <c r="N2446" s="6" t="s">
        <v>19</v>
      </c>
      <c r="O2446" s="6" t="s">
        <v>55</v>
      </c>
    </row>
    <row r="2447" spans="7:15" x14ac:dyDescent="0.3">
      <c r="G2447" s="7" t="s">
        <v>19</v>
      </c>
      <c r="H2447" s="7" t="s">
        <v>62</v>
      </c>
      <c r="N2447" s="7" t="s">
        <v>19</v>
      </c>
      <c r="O2447" s="7" t="s">
        <v>62</v>
      </c>
    </row>
    <row r="2448" spans="7:15" x14ac:dyDescent="0.3">
      <c r="G2448" s="6" t="s">
        <v>19</v>
      </c>
      <c r="H2448" s="6" t="s">
        <v>62</v>
      </c>
      <c r="N2448" s="6" t="s">
        <v>19</v>
      </c>
      <c r="O2448" s="6" t="s">
        <v>62</v>
      </c>
    </row>
    <row r="2449" spans="7:15" x14ac:dyDescent="0.3">
      <c r="G2449" s="7" t="s">
        <v>19</v>
      </c>
      <c r="H2449" s="7" t="s">
        <v>62</v>
      </c>
      <c r="N2449" s="7" t="s">
        <v>19</v>
      </c>
      <c r="O2449" s="7" t="s">
        <v>62</v>
      </c>
    </row>
    <row r="2450" spans="7:15" x14ac:dyDescent="0.3">
      <c r="G2450" s="6" t="s">
        <v>19</v>
      </c>
      <c r="H2450" s="6" t="s">
        <v>62</v>
      </c>
      <c r="N2450" s="6" t="s">
        <v>19</v>
      </c>
      <c r="O2450" s="6" t="s">
        <v>62</v>
      </c>
    </row>
    <row r="2451" spans="7:15" x14ac:dyDescent="0.3">
      <c r="G2451" s="7" t="s">
        <v>19</v>
      </c>
      <c r="H2451" s="7" t="s">
        <v>62</v>
      </c>
      <c r="N2451" s="7" t="s">
        <v>19</v>
      </c>
      <c r="O2451" s="7" t="s">
        <v>62</v>
      </c>
    </row>
    <row r="2452" spans="7:15" x14ac:dyDescent="0.3">
      <c r="G2452" s="6" t="s">
        <v>19</v>
      </c>
      <c r="H2452" s="6" t="s">
        <v>62</v>
      </c>
      <c r="N2452" s="6" t="s">
        <v>19</v>
      </c>
      <c r="O2452" s="6" t="s">
        <v>62</v>
      </c>
    </row>
    <row r="2453" spans="7:15" x14ac:dyDescent="0.3">
      <c r="G2453" s="7" t="s">
        <v>19</v>
      </c>
      <c r="H2453" s="7" t="s">
        <v>103</v>
      </c>
      <c r="N2453" s="7" t="s">
        <v>19</v>
      </c>
      <c r="O2453" s="7" t="s">
        <v>103</v>
      </c>
    </row>
    <row r="2454" spans="7:15" x14ac:dyDescent="0.3">
      <c r="G2454" s="6" t="s">
        <v>19</v>
      </c>
      <c r="H2454" s="6" t="s">
        <v>77</v>
      </c>
      <c r="N2454" s="6" t="s">
        <v>19</v>
      </c>
      <c r="O2454" s="6" t="s">
        <v>77</v>
      </c>
    </row>
    <row r="2455" spans="7:15" x14ac:dyDescent="0.3">
      <c r="G2455" s="7" t="s">
        <v>19</v>
      </c>
      <c r="H2455" s="7" t="s">
        <v>243</v>
      </c>
      <c r="N2455" s="7" t="s">
        <v>19</v>
      </c>
      <c r="O2455" s="7" t="s">
        <v>243</v>
      </c>
    </row>
    <row r="2456" spans="7:15" x14ac:dyDescent="0.3">
      <c r="G2456" s="6" t="s">
        <v>19</v>
      </c>
      <c r="H2456" s="6" t="s">
        <v>115</v>
      </c>
      <c r="N2456" s="6" t="s">
        <v>19</v>
      </c>
      <c r="O2456" s="6" t="s">
        <v>115</v>
      </c>
    </row>
    <row r="2457" spans="7:15" x14ac:dyDescent="0.3">
      <c r="G2457" s="7" t="s">
        <v>19</v>
      </c>
      <c r="H2457" s="7" t="s">
        <v>115</v>
      </c>
      <c r="N2457" s="7" t="s">
        <v>19</v>
      </c>
      <c r="O2457" s="7" t="s">
        <v>115</v>
      </c>
    </row>
    <row r="2458" spans="7:15" x14ac:dyDescent="0.3">
      <c r="G2458" s="6" t="s">
        <v>19</v>
      </c>
      <c r="H2458" s="6" t="s">
        <v>24</v>
      </c>
      <c r="N2458" s="6" t="s">
        <v>19</v>
      </c>
      <c r="O2458" s="6" t="s">
        <v>24</v>
      </c>
    </row>
    <row r="2459" spans="7:15" x14ac:dyDescent="0.3">
      <c r="G2459" s="7" t="s">
        <v>19</v>
      </c>
      <c r="H2459" s="7" t="s">
        <v>24</v>
      </c>
      <c r="N2459" s="7" t="s">
        <v>19</v>
      </c>
      <c r="O2459" s="7" t="s">
        <v>24</v>
      </c>
    </row>
    <row r="2460" spans="7:15" x14ac:dyDescent="0.3">
      <c r="G2460" s="6" t="s">
        <v>19</v>
      </c>
      <c r="H2460" s="6" t="s">
        <v>28</v>
      </c>
      <c r="N2460" s="6" t="s">
        <v>19</v>
      </c>
      <c r="O2460" s="6" t="s">
        <v>28</v>
      </c>
    </row>
    <row r="2461" spans="7:15" x14ac:dyDescent="0.3">
      <c r="G2461" s="7" t="s">
        <v>19</v>
      </c>
      <c r="H2461" s="7" t="s">
        <v>334</v>
      </c>
      <c r="N2461" s="7" t="s">
        <v>19</v>
      </c>
      <c r="O2461" s="7" t="s">
        <v>334</v>
      </c>
    </row>
    <row r="2462" spans="7:15" x14ac:dyDescent="0.3">
      <c r="G2462" s="6" t="s">
        <v>19</v>
      </c>
      <c r="H2462" s="6" t="s">
        <v>33</v>
      </c>
      <c r="N2462" s="6" t="s">
        <v>19</v>
      </c>
      <c r="O2462" s="6" t="s">
        <v>33</v>
      </c>
    </row>
    <row r="2463" spans="7:15" x14ac:dyDescent="0.3">
      <c r="G2463" s="7" t="s">
        <v>19</v>
      </c>
      <c r="H2463" s="7" t="s">
        <v>33</v>
      </c>
      <c r="N2463" s="7" t="s">
        <v>19</v>
      </c>
      <c r="O2463" s="7" t="s">
        <v>33</v>
      </c>
    </row>
    <row r="2464" spans="7:15" x14ac:dyDescent="0.3">
      <c r="G2464" s="6" t="s">
        <v>19</v>
      </c>
      <c r="H2464" s="6" t="s">
        <v>33</v>
      </c>
      <c r="N2464" s="6" t="s">
        <v>19</v>
      </c>
      <c r="O2464" s="6" t="s">
        <v>33</v>
      </c>
    </row>
    <row r="2465" spans="7:15" x14ac:dyDescent="0.3">
      <c r="G2465" s="7" t="s">
        <v>19</v>
      </c>
      <c r="H2465" s="7" t="s">
        <v>33</v>
      </c>
      <c r="N2465" s="7" t="s">
        <v>19</v>
      </c>
      <c r="O2465" s="7" t="s">
        <v>33</v>
      </c>
    </row>
    <row r="2466" spans="7:15" x14ac:dyDescent="0.3">
      <c r="G2466" s="6" t="s">
        <v>19</v>
      </c>
      <c r="H2466" s="6" t="s">
        <v>33</v>
      </c>
      <c r="N2466" s="6" t="s">
        <v>19</v>
      </c>
      <c r="O2466" s="6" t="s">
        <v>33</v>
      </c>
    </row>
    <row r="2467" spans="7:15" x14ac:dyDescent="0.3">
      <c r="G2467" s="7" t="s">
        <v>19</v>
      </c>
      <c r="H2467" s="7" t="s">
        <v>33</v>
      </c>
      <c r="N2467" s="7" t="s">
        <v>19</v>
      </c>
      <c r="O2467" s="7" t="s">
        <v>33</v>
      </c>
    </row>
    <row r="2468" spans="7:15" x14ac:dyDescent="0.3">
      <c r="G2468" s="6" t="s">
        <v>19</v>
      </c>
      <c r="H2468" s="6" t="s">
        <v>33</v>
      </c>
      <c r="N2468" s="6" t="s">
        <v>19</v>
      </c>
      <c r="O2468" s="6" t="s">
        <v>33</v>
      </c>
    </row>
    <row r="2469" spans="7:15" x14ac:dyDescent="0.3">
      <c r="G2469" s="7" t="s">
        <v>19</v>
      </c>
      <c r="H2469" s="7" t="s">
        <v>33</v>
      </c>
      <c r="N2469" s="7" t="s">
        <v>19</v>
      </c>
      <c r="O2469" s="7" t="s">
        <v>33</v>
      </c>
    </row>
    <row r="2470" spans="7:15" x14ac:dyDescent="0.3">
      <c r="G2470" s="6" t="s">
        <v>19</v>
      </c>
      <c r="H2470" s="6" t="s">
        <v>55</v>
      </c>
      <c r="N2470" s="6" t="s">
        <v>19</v>
      </c>
      <c r="O2470" s="6" t="s">
        <v>55</v>
      </c>
    </row>
    <row r="2471" spans="7:15" x14ac:dyDescent="0.3">
      <c r="G2471" s="7" t="s">
        <v>19</v>
      </c>
      <c r="H2471" s="7" t="s">
        <v>55</v>
      </c>
      <c r="N2471" s="7" t="s">
        <v>19</v>
      </c>
      <c r="O2471" s="7" t="s">
        <v>55</v>
      </c>
    </row>
    <row r="2472" spans="7:15" x14ac:dyDescent="0.3">
      <c r="G2472" s="6" t="s">
        <v>19</v>
      </c>
      <c r="H2472" s="6" t="s">
        <v>55</v>
      </c>
      <c r="N2472" s="6" t="s">
        <v>19</v>
      </c>
      <c r="O2472" s="6" t="s">
        <v>55</v>
      </c>
    </row>
    <row r="2473" spans="7:15" x14ac:dyDescent="0.3">
      <c r="G2473" s="7" t="s">
        <v>19</v>
      </c>
      <c r="H2473" s="7" t="s">
        <v>59</v>
      </c>
      <c r="N2473" s="7" t="s">
        <v>19</v>
      </c>
      <c r="O2473" s="7" t="s">
        <v>59</v>
      </c>
    </row>
    <row r="2474" spans="7:15" x14ac:dyDescent="0.3">
      <c r="G2474" s="6" t="s">
        <v>19</v>
      </c>
      <c r="H2474" s="6" t="s">
        <v>62</v>
      </c>
      <c r="N2474" s="6" t="s">
        <v>19</v>
      </c>
      <c r="O2474" s="6" t="s">
        <v>62</v>
      </c>
    </row>
    <row r="2475" spans="7:15" x14ac:dyDescent="0.3">
      <c r="G2475" s="7" t="s">
        <v>19</v>
      </c>
      <c r="H2475" s="7" t="s">
        <v>62</v>
      </c>
      <c r="N2475" s="7" t="s">
        <v>19</v>
      </c>
      <c r="O2475" s="7" t="s">
        <v>62</v>
      </c>
    </row>
    <row r="2476" spans="7:15" x14ac:dyDescent="0.3">
      <c r="G2476" s="6" t="s">
        <v>19</v>
      </c>
      <c r="H2476" s="6" t="s">
        <v>74</v>
      </c>
      <c r="N2476" s="6" t="s">
        <v>19</v>
      </c>
      <c r="O2476" s="6" t="s">
        <v>74</v>
      </c>
    </row>
    <row r="2477" spans="7:15" x14ac:dyDescent="0.3">
      <c r="G2477" s="7" t="s">
        <v>19</v>
      </c>
      <c r="H2477" s="7" t="s">
        <v>74</v>
      </c>
      <c r="N2477" s="7" t="s">
        <v>19</v>
      </c>
      <c r="O2477" s="7" t="s">
        <v>74</v>
      </c>
    </row>
    <row r="2478" spans="7:15" x14ac:dyDescent="0.3">
      <c r="G2478" s="6" t="s">
        <v>19</v>
      </c>
      <c r="H2478" s="6" t="s">
        <v>77</v>
      </c>
      <c r="N2478" s="6" t="s">
        <v>19</v>
      </c>
      <c r="O2478" s="6" t="s">
        <v>77</v>
      </c>
    </row>
    <row r="2479" spans="7:15" x14ac:dyDescent="0.3">
      <c r="G2479" s="7" t="s">
        <v>19</v>
      </c>
      <c r="H2479" s="7" t="s">
        <v>77</v>
      </c>
      <c r="N2479" s="7" t="s">
        <v>19</v>
      </c>
      <c r="O2479" s="7" t="s">
        <v>77</v>
      </c>
    </row>
    <row r="2480" spans="7:15" x14ac:dyDescent="0.3">
      <c r="G2480" s="6" t="s">
        <v>19</v>
      </c>
      <c r="H2480" s="6" t="s">
        <v>108</v>
      </c>
      <c r="N2480" s="6" t="s">
        <v>19</v>
      </c>
      <c r="O2480" s="6" t="s">
        <v>108</v>
      </c>
    </row>
    <row r="2481" spans="7:15" ht="15" thickBot="1" x14ac:dyDescent="0.35">
      <c r="G2481" s="8" t="s">
        <v>19</v>
      </c>
      <c r="H2481" s="8" t="s">
        <v>82</v>
      </c>
      <c r="N2481" s="8" t="s">
        <v>19</v>
      </c>
      <c r="O2481" s="8" t="s">
        <v>82</v>
      </c>
    </row>
  </sheetData>
  <sortState xmlns:xlrd2="http://schemas.microsoft.com/office/spreadsheetml/2017/richdata2" ref="N82:P2481">
    <sortCondition descending="1" ref="P82:P2481"/>
  </sortState>
  <conditionalFormatting sqref="I27:L31">
    <cfRule type="colorScale" priority="1">
      <colorScale>
        <cfvo type="min"/>
        <cfvo type="percentile" val="50"/>
        <cfvo type="max"/>
        <color rgb="FFF8696B"/>
        <color rgb="FFFCFCFF"/>
        <color rgb="FF5A8AC6"/>
      </colorScale>
    </cfRule>
  </conditionalFormatting>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workbookViewId="0">
      <selection activeCell="D1" sqref="D1:D1048576"/>
    </sheetView>
  </sheetViews>
  <sheetFormatPr defaultColWidth="7.77734375" defaultRowHeight="14.4" x14ac:dyDescent="0.3"/>
  <cols>
    <col min="1" max="1" width="1.6640625" customWidth="1"/>
    <col min="2" max="2" width="12.77734375" customWidth="1"/>
    <col min="3" max="3" width="7.2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Pivote 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MIR SADAB ALI</cp:lastModifiedBy>
  <dcterms:created xsi:type="dcterms:W3CDTF">2025-06-13T02:42:26Z</dcterms:created>
  <dcterms:modified xsi:type="dcterms:W3CDTF">2026-08-13T17:03:59Z</dcterms:modified>
</cp:coreProperties>
</file>